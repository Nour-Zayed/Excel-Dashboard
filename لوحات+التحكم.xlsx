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Ex1.xml" ContentType="application/vnd.ms-office.chartex+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hidePivotFieldList="1" defaultThemeVersion="166925"/>
  <mc:AlternateContent xmlns:mc="http://schemas.openxmlformats.org/markup-compatibility/2006">
    <mc:Choice Requires="x15">
      <x15ac:absPath xmlns:x15ac="http://schemas.microsoft.com/office/spreadsheetml/2010/11/ac" url="C:\Users\Eng Noor\Downloads\"/>
    </mc:Choice>
  </mc:AlternateContent>
  <xr:revisionPtr revIDLastSave="0" documentId="13_ncr:1_{27B8A571-BBC2-4493-81A5-519CA10F286B}" xr6:coauthVersionLast="47" xr6:coauthVersionMax="47" xr10:uidLastSave="{00000000-0000-0000-0000-000000000000}"/>
  <bookViews>
    <workbookView xWindow="-108" yWindow="-108" windowWidth="23256" windowHeight="12456" activeTab="2" xr2:uid="{83450228-6ABB-4463-9E01-81C2F552CCAF}"/>
  </bookViews>
  <sheets>
    <sheet name="Sheet2" sheetId="7" r:id="rId1"/>
    <sheet name="Database" sheetId="5" r:id="rId2"/>
    <sheet name="Sheet1" sheetId="6" r:id="rId3"/>
  </sheets>
  <definedNames>
    <definedName name="_xlnm._FilterDatabase" localSheetId="1" hidden="1">Database!$A$1:$L$101</definedName>
    <definedName name="_xlchart.v5.0" hidden="1">Sheet2!$AB$2</definedName>
    <definedName name="_xlchart.v5.1" hidden="1">Sheet2!$AB$3:$AB$21</definedName>
    <definedName name="_xlchart.v5.2" hidden="1">Sheet2!$AC$2</definedName>
    <definedName name="_xlchart.v5.3" hidden="1">Sheet2!$AC$3:$AC$21</definedName>
    <definedName name="Slicer_Month">#N/A</definedName>
    <definedName name="Slicer_Region">#N/A</definedName>
  </definedNames>
  <calcPr calcId="191029"/>
  <pivotCaches>
    <pivotCache cacheId="27"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G89" i="5" l="1"/>
  <c r="AC21" i="7"/>
  <c r="AB21" i="7"/>
  <c r="AC20" i="7"/>
  <c r="AB20" i="7"/>
  <c r="AC19" i="7"/>
  <c r="AB19" i="7"/>
  <c r="AC18" i="7"/>
  <c r="AB18" i="7"/>
  <c r="AC17" i="7"/>
  <c r="AB17" i="7"/>
  <c r="AC16" i="7"/>
  <c r="AB16" i="7"/>
  <c r="AC15" i="7"/>
  <c r="AB15" i="7"/>
  <c r="AC14" i="7"/>
  <c r="AB14" i="7"/>
  <c r="AC13" i="7"/>
  <c r="AB13" i="7"/>
  <c r="AC12" i="7"/>
  <c r="AB12" i="7"/>
  <c r="AC11" i="7"/>
  <c r="AB11" i="7"/>
  <c r="AC10" i="7"/>
  <c r="AB10" i="7"/>
  <c r="AC9" i="7"/>
  <c r="AB9" i="7"/>
  <c r="AC8" i="7"/>
  <c r="AB8" i="7"/>
  <c r="AC7" i="7"/>
  <c r="AB7" i="7"/>
  <c r="AC6" i="7"/>
  <c r="AB6" i="7"/>
  <c r="AC5" i="7"/>
  <c r="AB5" i="7"/>
  <c r="AC4" i="7"/>
  <c r="AB4" i="7"/>
  <c r="AC3" i="7"/>
  <c r="AB3" i="7"/>
  <c r="AC2" i="7"/>
  <c r="AB2" i="7"/>
  <c r="W11" i="7"/>
  <c r="V3" i="7"/>
  <c r="W3" i="7"/>
  <c r="V4" i="7"/>
  <c r="W4" i="7"/>
  <c r="V5" i="7"/>
  <c r="W5" i="7"/>
  <c r="V6" i="7"/>
  <c r="W6" i="7"/>
  <c r="V7" i="7"/>
  <c r="W7" i="7"/>
  <c r="V8" i="7"/>
  <c r="W8" i="7"/>
  <c r="V9" i="7"/>
  <c r="W9" i="7"/>
  <c r="V10" i="7"/>
  <c r="W10" i="7"/>
  <c r="V11" i="7"/>
  <c r="V12" i="7"/>
  <c r="W12" i="7"/>
  <c r="V13" i="7"/>
  <c r="W13" i="7"/>
  <c r="V14" i="7"/>
  <c r="W14" i="7"/>
  <c r="V15" i="7"/>
  <c r="W15" i="7"/>
  <c r="V16" i="7"/>
  <c r="W16" i="7"/>
  <c r="V17" i="7"/>
  <c r="W17" i="7"/>
  <c r="V18" i="7"/>
  <c r="W18" i="7"/>
  <c r="V19" i="7"/>
  <c r="W19" i="7"/>
  <c r="V20" i="7"/>
  <c r="W20" i="7"/>
  <c r="V21" i="7"/>
  <c r="W21" i="7"/>
  <c r="V22" i="7"/>
  <c r="W22" i="7"/>
  <c r="V23" i="7"/>
  <c r="W23" i="7"/>
  <c r="V24" i="7"/>
  <c r="W24" i="7"/>
  <c r="V25" i="7"/>
  <c r="W25" i="7"/>
  <c r="V26" i="7"/>
  <c r="W26" i="7"/>
  <c r="V27" i="7"/>
  <c r="W27" i="7"/>
  <c r="V28" i="7"/>
  <c r="W28" i="7"/>
  <c r="V29" i="7"/>
  <c r="W29" i="7"/>
  <c r="V30" i="7"/>
  <c r="W30" i="7"/>
  <c r="V31" i="7"/>
  <c r="W31" i="7"/>
  <c r="V32" i="7"/>
  <c r="W32" i="7"/>
  <c r="V33" i="7"/>
  <c r="W33" i="7"/>
  <c r="V34" i="7"/>
  <c r="W34" i="7"/>
  <c r="V35" i="7"/>
  <c r="W35" i="7"/>
  <c r="V36" i="7"/>
  <c r="W36" i="7"/>
  <c r="V37" i="7"/>
  <c r="W37" i="7"/>
  <c r="V38" i="7"/>
  <c r="W38" i="7"/>
  <c r="V39" i="7"/>
  <c r="W39" i="7"/>
  <c r="V40" i="7"/>
  <c r="W40" i="7"/>
  <c r="V41" i="7"/>
  <c r="W41" i="7"/>
  <c r="V42" i="7"/>
  <c r="W42" i="7"/>
  <c r="W2" i="7"/>
  <c r="V2" i="7"/>
  <c r="Q20" i="7"/>
  <c r="P20" i="7"/>
  <c r="Q19" i="7"/>
  <c r="P19" i="7"/>
  <c r="Q18" i="7"/>
  <c r="P18" i="7"/>
  <c r="Q17" i="7"/>
  <c r="P17" i="7"/>
  <c r="N21" i="7"/>
  <c r="M21" i="7"/>
  <c r="N20" i="7"/>
  <c r="M20" i="7"/>
  <c r="N19" i="7"/>
  <c r="M19" i="7"/>
  <c r="N18" i="7"/>
  <c r="M18" i="7"/>
  <c r="N17" i="7"/>
  <c r="M17" i="7"/>
  <c r="J19" i="7"/>
  <c r="K20" i="7"/>
  <c r="K21" i="7"/>
  <c r="K22" i="7"/>
  <c r="K23" i="7"/>
  <c r="K24" i="7"/>
  <c r="K25" i="7"/>
  <c r="K26" i="7"/>
  <c r="K27" i="7"/>
  <c r="J20" i="7"/>
  <c r="J21" i="7"/>
  <c r="J22" i="7"/>
  <c r="J23" i="7"/>
  <c r="J24" i="7"/>
  <c r="J25" i="7"/>
  <c r="J26" i="7"/>
  <c r="J27" i="7"/>
  <c r="K19" i="7"/>
  <c r="D17" i="7"/>
  <c r="E17" i="7"/>
  <c r="F17" i="7"/>
  <c r="G17" i="7"/>
  <c r="H17" i="7"/>
  <c r="D18" i="7"/>
  <c r="E18" i="7"/>
  <c r="F18" i="7"/>
  <c r="G18" i="7"/>
  <c r="H18" i="7"/>
  <c r="D19" i="7"/>
  <c r="E19" i="7"/>
  <c r="F19" i="7"/>
  <c r="G19" i="7"/>
  <c r="H19" i="7"/>
  <c r="D20" i="7"/>
  <c r="E20" i="7"/>
  <c r="F20" i="7"/>
  <c r="G20" i="7"/>
  <c r="H20" i="7"/>
  <c r="D21" i="7"/>
  <c r="E21" i="7"/>
  <c r="F21" i="7"/>
  <c r="G21" i="7"/>
  <c r="H21" i="7"/>
  <c r="D22" i="7"/>
  <c r="E22" i="7"/>
  <c r="F22" i="7"/>
  <c r="G22" i="7"/>
  <c r="H22" i="7"/>
  <c r="D23" i="7"/>
  <c r="E23" i="7"/>
  <c r="F23" i="7"/>
  <c r="G23" i="7"/>
  <c r="H23" i="7"/>
  <c r="D24" i="7"/>
  <c r="E24" i="7"/>
  <c r="F24" i="7"/>
  <c r="G24" i="7"/>
  <c r="H24" i="7"/>
  <c r="D25" i="7"/>
  <c r="E25" i="7"/>
  <c r="F25" i="7"/>
  <c r="G25" i="7"/>
  <c r="H25" i="7"/>
  <c r="D26" i="7"/>
  <c r="E26" i="7"/>
  <c r="F26" i="7"/>
  <c r="G26" i="7"/>
  <c r="H26" i="7"/>
  <c r="D27" i="7"/>
  <c r="E27" i="7"/>
  <c r="F27" i="7"/>
  <c r="G27" i="7"/>
  <c r="H27" i="7"/>
  <c r="D28" i="7"/>
  <c r="E28" i="7"/>
  <c r="F28" i="7"/>
  <c r="G28" i="7"/>
  <c r="H28" i="7"/>
  <c r="E16" i="7"/>
  <c r="F16" i="7"/>
  <c r="G16" i="7"/>
  <c r="H16" i="7"/>
  <c r="D16" i="7"/>
  <c r="B5" i="7"/>
  <c r="A5" i="7"/>
  <c r="G3" i="5"/>
  <c r="G4" i="5"/>
  <c r="G5" i="5"/>
  <c r="G6" i="5"/>
  <c r="G7" i="5"/>
  <c r="G8" i="5"/>
  <c r="G9" i="5"/>
  <c r="G10" i="5"/>
  <c r="G11" i="5"/>
  <c r="G12" i="5"/>
  <c r="G13" i="5"/>
  <c r="G14" i="5"/>
  <c r="G15" i="5"/>
  <c r="G16" i="5"/>
  <c r="G17" i="5"/>
  <c r="G18" i="5"/>
  <c r="G19" i="5"/>
  <c r="G20" i="5"/>
  <c r="G21" i="5"/>
  <c r="G22" i="5"/>
  <c r="G23" i="5"/>
  <c r="G24" i="5"/>
  <c r="G25" i="5"/>
  <c r="G26" i="5"/>
  <c r="G27" i="5"/>
  <c r="G28" i="5"/>
  <c r="G29" i="5"/>
  <c r="G30" i="5"/>
  <c r="G31" i="5"/>
  <c r="G32" i="5"/>
  <c r="G33" i="5"/>
  <c r="G34" i="5"/>
  <c r="G35" i="5"/>
  <c r="G36" i="5"/>
  <c r="G37" i="5"/>
  <c r="G38" i="5"/>
  <c r="G39" i="5"/>
  <c r="G40" i="5"/>
  <c r="G41" i="5"/>
  <c r="G42" i="5"/>
  <c r="G43" i="5"/>
  <c r="G44" i="5"/>
  <c r="G45" i="5"/>
  <c r="G46" i="5"/>
  <c r="G47" i="5"/>
  <c r="G48" i="5"/>
  <c r="G49" i="5"/>
  <c r="G50" i="5"/>
  <c r="G51" i="5"/>
  <c r="G52" i="5"/>
  <c r="G53" i="5"/>
  <c r="G54" i="5"/>
  <c r="G55" i="5"/>
  <c r="G56" i="5"/>
  <c r="G57" i="5"/>
  <c r="G58" i="5"/>
  <c r="G59" i="5"/>
  <c r="G60" i="5"/>
  <c r="G61" i="5"/>
  <c r="G62" i="5"/>
  <c r="G63" i="5"/>
  <c r="G64" i="5"/>
  <c r="G65" i="5"/>
  <c r="G66" i="5"/>
  <c r="G67" i="5"/>
  <c r="G68" i="5"/>
  <c r="G69" i="5"/>
  <c r="G70" i="5"/>
  <c r="G71" i="5"/>
  <c r="G72" i="5"/>
  <c r="G73" i="5"/>
  <c r="G74" i="5"/>
  <c r="G75" i="5"/>
  <c r="G76" i="5"/>
  <c r="G77" i="5"/>
  <c r="G78" i="5"/>
  <c r="G79" i="5"/>
  <c r="G80" i="5"/>
  <c r="G81" i="5"/>
  <c r="G82" i="5"/>
  <c r="G83" i="5"/>
  <c r="G84" i="5"/>
  <c r="G85" i="5"/>
  <c r="G86" i="5"/>
  <c r="G87" i="5"/>
  <c r="G88" i="5"/>
  <c r="G90" i="5"/>
  <c r="G91" i="5"/>
  <c r="G92" i="5"/>
  <c r="G93" i="5"/>
  <c r="G94" i="5"/>
  <c r="G95" i="5"/>
  <c r="G96" i="5"/>
  <c r="G97" i="5"/>
  <c r="G98" i="5"/>
  <c r="G99" i="5"/>
  <c r="G100" i="5"/>
  <c r="G101" i="5"/>
  <c r="G2" i="5"/>
  <c r="B6" i="7" l="1"/>
</calcChain>
</file>

<file path=xl/sharedStrings.xml><?xml version="1.0" encoding="utf-8"?>
<sst xmlns="http://schemas.openxmlformats.org/spreadsheetml/2006/main" count="582" uniqueCount="90">
  <si>
    <t>Date</t>
  </si>
  <si>
    <t>Customer</t>
  </si>
  <si>
    <t>Product</t>
  </si>
  <si>
    <t>Quantity</t>
  </si>
  <si>
    <t>Country</t>
  </si>
  <si>
    <t>Region</t>
  </si>
  <si>
    <t>Month</t>
  </si>
  <si>
    <t>AliTech</t>
  </si>
  <si>
    <t>Saudi Arabia</t>
  </si>
  <si>
    <t>Middle East</t>
  </si>
  <si>
    <t>January</t>
  </si>
  <si>
    <t>StarMall</t>
  </si>
  <si>
    <t>Keyboard</t>
  </si>
  <si>
    <t>UAE</t>
  </si>
  <si>
    <t>Shopper's Hub</t>
  </si>
  <si>
    <t>Headphones</t>
  </si>
  <si>
    <t>Egypt</t>
  </si>
  <si>
    <t>North Africa</t>
  </si>
  <si>
    <t>Algeria</t>
  </si>
  <si>
    <t>TechMart</t>
  </si>
  <si>
    <t>Monitor</t>
  </si>
  <si>
    <t>Lebanon</t>
  </si>
  <si>
    <t>Levant</t>
  </si>
  <si>
    <t>Wireless Charger</t>
  </si>
  <si>
    <t>Jordan</t>
  </si>
  <si>
    <t>Qatar</t>
  </si>
  <si>
    <t>External Hard Drive</t>
  </si>
  <si>
    <t>Desk Lamp</t>
  </si>
  <si>
    <t>Bluetooth Speaker</t>
  </si>
  <si>
    <t>February</t>
  </si>
  <si>
    <t>Power Bank</t>
  </si>
  <si>
    <t>N°</t>
  </si>
  <si>
    <t>March</t>
  </si>
  <si>
    <t>April</t>
  </si>
  <si>
    <t>Fitness Tracker</t>
  </si>
  <si>
    <t>May</t>
  </si>
  <si>
    <t>EcoShop</t>
  </si>
  <si>
    <t>TechDeals</t>
  </si>
  <si>
    <t>DailyEssentials</t>
  </si>
  <si>
    <t>ValueMart</t>
  </si>
  <si>
    <t>FreshStart</t>
  </si>
  <si>
    <t>June</t>
  </si>
  <si>
    <t>CityEssentials</t>
  </si>
  <si>
    <t>LifeGoods</t>
  </si>
  <si>
    <t>RapidDeals</t>
  </si>
  <si>
    <t>SuperShop</t>
  </si>
  <si>
    <t>EasyMart</t>
  </si>
  <si>
    <t>ValueShop</t>
  </si>
  <si>
    <t>ShopperPlus</t>
  </si>
  <si>
    <t>BrightDeals</t>
  </si>
  <si>
    <t>MegaGadgets</t>
  </si>
  <si>
    <t>July</t>
  </si>
  <si>
    <t>Smartwatch</t>
  </si>
  <si>
    <t>August</t>
  </si>
  <si>
    <t>Libya</t>
  </si>
  <si>
    <t>Tunisia</t>
  </si>
  <si>
    <t>Unit Price</t>
  </si>
  <si>
    <t>Sales</t>
  </si>
  <si>
    <t>Total Profit</t>
  </si>
  <si>
    <t>Week Number</t>
  </si>
  <si>
    <t>Smartphone</t>
  </si>
  <si>
    <t>Mouse</t>
  </si>
  <si>
    <t>Printer</t>
  </si>
  <si>
    <t>Portable SSD</t>
  </si>
  <si>
    <t>USB Flash Drive</t>
  </si>
  <si>
    <t>Laptop</t>
  </si>
  <si>
    <t>Projector</t>
  </si>
  <si>
    <t>Tablet</t>
  </si>
  <si>
    <t>Router</t>
  </si>
  <si>
    <t>Camera</t>
  </si>
  <si>
    <t>September</t>
  </si>
  <si>
    <t>October</t>
  </si>
  <si>
    <t>November</t>
  </si>
  <si>
    <t>December</t>
  </si>
  <si>
    <t>Bahrain</t>
  </si>
  <si>
    <t>Iraq</t>
  </si>
  <si>
    <t>Kuwait</t>
  </si>
  <si>
    <t>Oman</t>
  </si>
  <si>
    <t>Palestine</t>
  </si>
  <si>
    <t>Syria</t>
  </si>
  <si>
    <t>Yemen</t>
  </si>
  <si>
    <t>Horn of Africa</t>
  </si>
  <si>
    <t>Sudan</t>
  </si>
  <si>
    <t>South Sudan</t>
  </si>
  <si>
    <t>Western Sahara</t>
  </si>
  <si>
    <t>Sum of Sales</t>
  </si>
  <si>
    <t>Sum of Total Profit</t>
  </si>
  <si>
    <t>Row Labels</t>
  </si>
  <si>
    <t>Column Labels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</si>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</sst>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7"/>
      <color rgb="FF000000"/>
      <name val="Arial"/>
      <family val="2"/>
    </font>
    <font>
      <sz val="11"/>
      <color rgb="FF404040"/>
      <name val="Arial"/>
      <family val="2"/>
    </font>
  </fonts>
  <fills count="4">
    <fill>
      <patternFill patternType="none"/>
    </fill>
    <fill>
      <patternFill patternType="gray125"/>
    </fill>
    <fill>
      <patternFill patternType="solid">
        <fgColor theme="4" tint="0.79998168889431442"/>
        <bgColor indexed="64"/>
      </patternFill>
    </fill>
    <fill>
      <patternFill patternType="solid">
        <fgColor theme="8"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3">
    <xf numFmtId="0" fontId="0" fillId="0" borderId="0"/>
    <xf numFmtId="43" fontId="1" fillId="0" borderId="0" applyFont="0" applyFill="0" applyBorder="0" applyAlignment="0" applyProtection="0"/>
    <xf numFmtId="9" fontId="1" fillId="0" borderId="0" applyFont="0" applyFill="0" applyBorder="0" applyAlignment="0" applyProtection="0"/>
  </cellStyleXfs>
  <cellXfs count="20">
    <xf numFmtId="0" fontId="0" fillId="0" borderId="0" xfId="0"/>
    <xf numFmtId="14" fontId="0" fillId="0" borderId="1" xfId="0" applyNumberFormat="1" applyBorder="1" applyAlignment="1">
      <alignment horizontal="center" vertical="center"/>
    </xf>
    <xf numFmtId="0" fontId="0" fillId="0" borderId="0" xfId="0" applyAlignment="1">
      <alignment horizontal="center"/>
    </xf>
    <xf numFmtId="0" fontId="0" fillId="0" borderId="1" xfId="0" applyBorder="1" applyAlignment="1">
      <alignment horizontal="center"/>
    </xf>
    <xf numFmtId="164" fontId="0" fillId="0" borderId="1" xfId="1" applyNumberFormat="1" applyFont="1" applyBorder="1" applyAlignment="1">
      <alignment horizontal="center"/>
    </xf>
    <xf numFmtId="164" fontId="0" fillId="0" borderId="0" xfId="1" applyNumberFormat="1" applyFont="1" applyAlignment="1">
      <alignment horizontal="center"/>
    </xf>
    <xf numFmtId="0" fontId="2" fillId="2" borderId="1" xfId="0" applyFont="1" applyFill="1" applyBorder="1" applyAlignment="1">
      <alignment horizontal="center" vertical="center" wrapText="1"/>
    </xf>
    <xf numFmtId="164" fontId="2" fillId="2" borderId="1" xfId="1" applyNumberFormat="1" applyFont="1" applyFill="1" applyBorder="1" applyAlignment="1">
      <alignment horizontal="center" vertical="center" wrapText="1"/>
    </xf>
    <xf numFmtId="0" fontId="0" fillId="0" borderId="0" xfId="0" applyAlignment="1">
      <alignment horizontal="left"/>
    </xf>
    <xf numFmtId="0" fontId="0" fillId="0" borderId="1" xfId="0" applyBorder="1" applyAlignment="1">
      <alignment horizontal="left" vertical="center"/>
    </xf>
    <xf numFmtId="0" fontId="0" fillId="0" borderId="1" xfId="0" applyBorder="1" applyAlignment="1">
      <alignment horizontal="left"/>
    </xf>
    <xf numFmtId="0" fontId="0" fillId="0" borderId="0" xfId="0" applyAlignment="1">
      <alignment horizontal="center" vertical="center" wrapText="1"/>
    </xf>
    <xf numFmtId="0" fontId="0" fillId="3" borderId="0" xfId="0" applyFill="1"/>
    <xf numFmtId="164" fontId="0" fillId="0" borderId="0" xfId="0" applyNumberFormat="1"/>
    <xf numFmtId="164" fontId="3" fillId="0" borderId="0" xfId="0" applyNumberFormat="1" applyFont="1" applyAlignment="1">
      <alignment vertical="center" wrapText="1"/>
    </xf>
    <xf numFmtId="9" fontId="0" fillId="0" borderId="0" xfId="2" applyFont="1"/>
    <xf numFmtId="9" fontId="3" fillId="0" borderId="0" xfId="2" applyFont="1" applyAlignment="1">
      <alignment vertical="center" wrapText="1"/>
    </xf>
    <xf numFmtId="0" fontId="0" fillId="0" borderId="0" xfId="0" pivotButton="1"/>
    <xf numFmtId="0" fontId="4" fillId="0" borderId="0" xfId="0" applyFont="1"/>
    <xf numFmtId="164" fontId="4" fillId="0" borderId="0" xfId="0" applyNumberFormat="1" applyFont="1"/>
  </cellXfs>
  <cellStyles count="3">
    <cellStyle name="Comma 2" xfId="1" xr:uid="{5C5D586A-FBF2-48E9-8F9A-4DCA9D9CFF54}"/>
    <cellStyle name="Normal" xfId="0" builtinId="0"/>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12094173949294146"/>
          <c:y val="4.2703012014310551E-2"/>
          <c:w val="0.85463755051433477"/>
          <c:h val="0.68008107764428549"/>
        </c:manualLayout>
      </c:layout>
      <c:barChart>
        <c:barDir val="col"/>
        <c:grouping val="stacked"/>
        <c:varyColors val="0"/>
        <c:ser>
          <c:idx val="0"/>
          <c:order val="0"/>
          <c:tx>
            <c:strRef>
              <c:f>Sheet2!$E$16</c:f>
              <c:strCache>
                <c:ptCount val="1"/>
                <c:pt idx="0">
                  <c:v>Horn of Africa</c:v>
                </c:pt>
              </c:strCache>
            </c:strRef>
          </c:tx>
          <c:spPr>
            <a:solidFill>
              <a:schemeClr val="accent1">
                <a:shade val="58000"/>
              </a:schemeClr>
            </a:solidFill>
            <a:ln>
              <a:noFill/>
            </a:ln>
            <a:effectLst/>
          </c:spPr>
          <c:invertIfNegative val="0"/>
          <c:cat>
            <c:strRef>
              <c:f>Sheet2!$D$17:$D$28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Sheet2!$E$17:$E$28</c:f>
              <c:numCache>
                <c:formatCode>_(* #,##0_);_(* \(#,##0\);_(* "-"??_);_(@_)</c:formatCode>
                <c:ptCount val="12"/>
                <c:pt idx="0">
                  <c:v>0</c:v>
                </c:pt>
                <c:pt idx="1">
                  <c:v>0</c:v>
                </c:pt>
                <c:pt idx="2">
                  <c:v>0</c:v>
                </c:pt>
                <c:pt idx="3">
                  <c:v>0</c:v>
                </c:pt>
                <c:pt idx="4">
                  <c:v>0</c:v>
                </c:pt>
                <c:pt idx="5">
                  <c:v>0</c:v>
                </c:pt>
                <c:pt idx="6">
                  <c:v>31943.269999999997</c:v>
                </c:pt>
                <c:pt idx="7">
                  <c:v>0</c:v>
                </c:pt>
                <c:pt idx="8">
                  <c:v>61532.54</c:v>
                </c:pt>
                <c:pt idx="9">
                  <c:v>0</c:v>
                </c:pt>
                <c:pt idx="10">
                  <c:v>0</c:v>
                </c:pt>
                <c:pt idx="11">
                  <c:v>0</c:v>
                </c:pt>
              </c:numCache>
            </c:numRef>
          </c:val>
          <c:extLst>
            <c:ext xmlns:c16="http://schemas.microsoft.com/office/drawing/2014/chart" uri="{C3380CC4-5D6E-409C-BE32-E72D297353CC}">
              <c16:uniqueId val="{00000000-5764-4FE5-8C2B-17F431282180}"/>
            </c:ext>
          </c:extLst>
        </c:ser>
        <c:ser>
          <c:idx val="1"/>
          <c:order val="1"/>
          <c:tx>
            <c:strRef>
              <c:f>Sheet2!$F$16</c:f>
              <c:strCache>
                <c:ptCount val="1"/>
                <c:pt idx="0">
                  <c:v>Levant</c:v>
                </c:pt>
              </c:strCache>
            </c:strRef>
          </c:tx>
          <c:spPr>
            <a:solidFill>
              <a:schemeClr val="accent1">
                <a:shade val="86000"/>
              </a:schemeClr>
            </a:solidFill>
            <a:ln>
              <a:noFill/>
            </a:ln>
            <a:effectLst/>
          </c:spPr>
          <c:invertIfNegative val="0"/>
          <c:cat>
            <c:strRef>
              <c:f>Sheet2!$D$17:$D$28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Sheet2!$F$17:$F$28</c:f>
              <c:numCache>
                <c:formatCode>_(* #,##0_);_(* \(#,##0\);_(* "-"??_);_(@_)</c:formatCode>
                <c:ptCount val="12"/>
                <c:pt idx="0">
                  <c:v>6316.05</c:v>
                </c:pt>
                <c:pt idx="1">
                  <c:v>1449</c:v>
                </c:pt>
                <c:pt idx="2">
                  <c:v>0</c:v>
                </c:pt>
                <c:pt idx="3">
                  <c:v>107187.77</c:v>
                </c:pt>
                <c:pt idx="4">
                  <c:v>57018.810000000005</c:v>
                </c:pt>
                <c:pt idx="5">
                  <c:v>44028.3</c:v>
                </c:pt>
                <c:pt idx="6">
                  <c:v>0</c:v>
                </c:pt>
                <c:pt idx="7">
                  <c:v>0</c:v>
                </c:pt>
                <c:pt idx="8">
                  <c:v>0</c:v>
                </c:pt>
                <c:pt idx="9">
                  <c:v>0</c:v>
                </c:pt>
                <c:pt idx="10">
                  <c:v>0</c:v>
                </c:pt>
                <c:pt idx="11">
                  <c:v>0</c:v>
                </c:pt>
              </c:numCache>
            </c:numRef>
          </c:val>
          <c:extLst>
            <c:ext xmlns:c16="http://schemas.microsoft.com/office/drawing/2014/chart" uri="{C3380CC4-5D6E-409C-BE32-E72D297353CC}">
              <c16:uniqueId val="{00000001-5764-4FE5-8C2B-17F431282180}"/>
            </c:ext>
          </c:extLst>
        </c:ser>
        <c:ser>
          <c:idx val="2"/>
          <c:order val="2"/>
          <c:tx>
            <c:strRef>
              <c:f>Sheet2!$G$16</c:f>
              <c:strCache>
                <c:ptCount val="1"/>
                <c:pt idx="0">
                  <c:v>Middle East</c:v>
                </c:pt>
              </c:strCache>
            </c:strRef>
          </c:tx>
          <c:spPr>
            <a:solidFill>
              <a:schemeClr val="accent1">
                <a:tint val="86000"/>
              </a:schemeClr>
            </a:solidFill>
            <a:ln>
              <a:noFill/>
            </a:ln>
            <a:effectLst/>
          </c:spPr>
          <c:invertIfNegative val="0"/>
          <c:cat>
            <c:strRef>
              <c:f>Sheet2!$D$17:$D$28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Sheet2!$G$17:$G$28</c:f>
              <c:numCache>
                <c:formatCode>_(* #,##0_);_(* \(#,##0\);_(* "-"??_);_(@_)</c:formatCode>
                <c:ptCount val="12"/>
                <c:pt idx="0">
                  <c:v>8104.52</c:v>
                </c:pt>
                <c:pt idx="1">
                  <c:v>14298.599999999999</c:v>
                </c:pt>
                <c:pt idx="2">
                  <c:v>2364.8000000000002</c:v>
                </c:pt>
                <c:pt idx="3">
                  <c:v>41115.82</c:v>
                </c:pt>
                <c:pt idx="4">
                  <c:v>44386.62</c:v>
                </c:pt>
                <c:pt idx="5">
                  <c:v>56329.919999999998</c:v>
                </c:pt>
                <c:pt idx="6">
                  <c:v>32470.95</c:v>
                </c:pt>
                <c:pt idx="7">
                  <c:v>46550</c:v>
                </c:pt>
                <c:pt idx="8">
                  <c:v>24293.119999999999</c:v>
                </c:pt>
                <c:pt idx="9">
                  <c:v>34104.870000000003</c:v>
                </c:pt>
                <c:pt idx="10">
                  <c:v>87256.27</c:v>
                </c:pt>
                <c:pt idx="11">
                  <c:v>911.36</c:v>
                </c:pt>
              </c:numCache>
            </c:numRef>
          </c:val>
          <c:extLst>
            <c:ext xmlns:c16="http://schemas.microsoft.com/office/drawing/2014/chart" uri="{C3380CC4-5D6E-409C-BE32-E72D297353CC}">
              <c16:uniqueId val="{00000002-5764-4FE5-8C2B-17F431282180}"/>
            </c:ext>
          </c:extLst>
        </c:ser>
        <c:ser>
          <c:idx val="3"/>
          <c:order val="3"/>
          <c:tx>
            <c:strRef>
              <c:f>Sheet2!$H$16</c:f>
              <c:strCache>
                <c:ptCount val="1"/>
                <c:pt idx="0">
                  <c:v>North Africa</c:v>
                </c:pt>
              </c:strCache>
            </c:strRef>
          </c:tx>
          <c:spPr>
            <a:solidFill>
              <a:schemeClr val="accent1">
                <a:tint val="58000"/>
              </a:schemeClr>
            </a:solidFill>
            <a:ln>
              <a:noFill/>
            </a:ln>
            <a:effectLst/>
          </c:spPr>
          <c:invertIfNegative val="0"/>
          <c:cat>
            <c:strRef>
              <c:f>Sheet2!$D$17:$D$28</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Sheet2!$H$17:$H$28</c:f>
              <c:numCache>
                <c:formatCode>_(* #,##0_);_(* \(#,##0\);_(* "-"??_);_(@_)</c:formatCode>
                <c:ptCount val="12"/>
                <c:pt idx="0">
                  <c:v>26257.02</c:v>
                </c:pt>
                <c:pt idx="1">
                  <c:v>5341.95</c:v>
                </c:pt>
                <c:pt idx="2">
                  <c:v>73428.06</c:v>
                </c:pt>
                <c:pt idx="3">
                  <c:v>32971.32</c:v>
                </c:pt>
                <c:pt idx="4">
                  <c:v>18612.02</c:v>
                </c:pt>
                <c:pt idx="5">
                  <c:v>60180.880000000005</c:v>
                </c:pt>
                <c:pt idx="6">
                  <c:v>124456.98999999999</c:v>
                </c:pt>
                <c:pt idx="7">
                  <c:v>67998.080000000002</c:v>
                </c:pt>
                <c:pt idx="8">
                  <c:v>82889.399999999994</c:v>
                </c:pt>
                <c:pt idx="9">
                  <c:v>67576.51999999999</c:v>
                </c:pt>
                <c:pt idx="10">
                  <c:v>143544.78</c:v>
                </c:pt>
                <c:pt idx="11">
                  <c:v>36515.67</c:v>
                </c:pt>
              </c:numCache>
            </c:numRef>
          </c:val>
          <c:extLst>
            <c:ext xmlns:c16="http://schemas.microsoft.com/office/drawing/2014/chart" uri="{C3380CC4-5D6E-409C-BE32-E72D297353CC}">
              <c16:uniqueId val="{00000003-5764-4FE5-8C2B-17F431282180}"/>
            </c:ext>
          </c:extLst>
        </c:ser>
        <c:dLbls>
          <c:showLegendKey val="0"/>
          <c:showVal val="0"/>
          <c:showCatName val="0"/>
          <c:showSerName val="0"/>
          <c:showPercent val="0"/>
          <c:showBubbleSize val="0"/>
        </c:dLbls>
        <c:gapWidth val="150"/>
        <c:overlap val="100"/>
        <c:axId val="625636008"/>
        <c:axId val="625638888"/>
      </c:barChart>
      <c:catAx>
        <c:axId val="6256360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625638888"/>
        <c:crosses val="autoZero"/>
        <c:auto val="1"/>
        <c:lblAlgn val="ctr"/>
        <c:lblOffset val="100"/>
        <c:noMultiLvlLbl val="0"/>
      </c:catAx>
      <c:valAx>
        <c:axId val="62563888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5636008"/>
        <c:crosses val="autoZero"/>
        <c:crossBetween val="between"/>
      </c:valAx>
      <c:spPr>
        <a:noFill/>
        <a:ln>
          <a:noFill/>
        </a:ln>
        <a:effectLst/>
      </c:spPr>
    </c:plotArea>
    <c:legend>
      <c:legendPos val="b"/>
      <c:layout>
        <c:manualLayout>
          <c:xMode val="edge"/>
          <c:yMode val="edge"/>
          <c:x val="4.6249940390392923E-2"/>
          <c:y val="0.88550781670503576"/>
          <c:w val="0.89999973425466262"/>
          <c:h val="0.1028495576750127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7505972421507507"/>
          <c:y val="0.12230207167190303"/>
          <c:w val="0.65252003660984936"/>
          <c:h val="0.78903554704898105"/>
        </c:manualLayout>
      </c:layout>
      <c:barChart>
        <c:barDir val="bar"/>
        <c:grouping val="clustered"/>
        <c:varyColors val="0"/>
        <c:ser>
          <c:idx val="0"/>
          <c:order val="0"/>
          <c:spPr>
            <a:solidFill>
              <a:schemeClr val="accent1">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Sheet2!$J$19:$J$27</c:f>
              <c:strCache>
                <c:ptCount val="9"/>
                <c:pt idx="0">
                  <c:v>Router</c:v>
                </c:pt>
                <c:pt idx="1">
                  <c:v>External Hard Drive</c:v>
                </c:pt>
                <c:pt idx="2">
                  <c:v>Printer</c:v>
                </c:pt>
                <c:pt idx="3">
                  <c:v>Bluetooth Speaker</c:v>
                </c:pt>
                <c:pt idx="4">
                  <c:v>Desk Lamp</c:v>
                </c:pt>
                <c:pt idx="5">
                  <c:v>Tablet</c:v>
                </c:pt>
                <c:pt idx="6">
                  <c:v>Portable SSD</c:v>
                </c:pt>
                <c:pt idx="7">
                  <c:v>Headphones</c:v>
                </c:pt>
                <c:pt idx="8">
                  <c:v>Keyboard</c:v>
                </c:pt>
              </c:strCache>
            </c:strRef>
          </c:cat>
          <c:val>
            <c:numRef>
              <c:f>Sheet2!$K$19:$K$27</c:f>
              <c:numCache>
                <c:formatCode>_(* #,##0_);_(* \(#,##0\);_(* "-"??_);_(@_)</c:formatCode>
                <c:ptCount val="9"/>
                <c:pt idx="0">
                  <c:v>133188.24999999997</c:v>
                </c:pt>
                <c:pt idx="1">
                  <c:v>114197.98999999999</c:v>
                </c:pt>
                <c:pt idx="2">
                  <c:v>109663.06</c:v>
                </c:pt>
                <c:pt idx="3">
                  <c:v>109271.89</c:v>
                </c:pt>
                <c:pt idx="4">
                  <c:v>102458.74999999999</c:v>
                </c:pt>
                <c:pt idx="5">
                  <c:v>98651.650000000009</c:v>
                </c:pt>
                <c:pt idx="6">
                  <c:v>93719.87999999999</c:v>
                </c:pt>
                <c:pt idx="7">
                  <c:v>90446.549999999988</c:v>
                </c:pt>
                <c:pt idx="8">
                  <c:v>81442.12</c:v>
                </c:pt>
              </c:numCache>
            </c:numRef>
          </c:val>
          <c:extLst>
            <c:ext xmlns:c16="http://schemas.microsoft.com/office/drawing/2014/chart" uri="{C3380CC4-5D6E-409C-BE32-E72D297353CC}">
              <c16:uniqueId val="{00000000-1B14-4ED9-B94A-289C90BFD729}"/>
            </c:ext>
          </c:extLst>
        </c:ser>
        <c:dLbls>
          <c:dLblPos val="inEnd"/>
          <c:showLegendKey val="0"/>
          <c:showVal val="1"/>
          <c:showCatName val="0"/>
          <c:showSerName val="0"/>
          <c:showPercent val="0"/>
          <c:showBubbleSize val="0"/>
        </c:dLbls>
        <c:gapWidth val="90"/>
        <c:axId val="409531400"/>
        <c:axId val="625635648"/>
      </c:barChart>
      <c:catAx>
        <c:axId val="40953140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625635648"/>
        <c:crosses val="autoZero"/>
        <c:auto val="1"/>
        <c:lblAlgn val="ctr"/>
        <c:lblOffset val="100"/>
        <c:noMultiLvlLbl val="0"/>
      </c:catAx>
      <c:valAx>
        <c:axId val="625635648"/>
        <c:scaling>
          <c:orientation val="minMax"/>
        </c:scaling>
        <c:delete val="0"/>
        <c:axPos val="b"/>
        <c:numFmt formatCode="_(* #,##0_);_(* \(#,##0\);_(* &quot;-&quot;??_);_(@_)" sourceLinked="1"/>
        <c:majorTickMark val="out"/>
        <c:minorTickMark val="none"/>
        <c:tickLblPos val="nextTo"/>
        <c:spPr>
          <a:noFill/>
          <a:ln>
            <a:noFill/>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409531400"/>
        <c:crosses val="autoZero"/>
        <c:crossBetween val="between"/>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E4F-414E-BA3E-9C8A302226D4}"/>
              </c:ext>
            </c:extLst>
          </c:dPt>
          <c:dPt>
            <c:idx val="1"/>
            <c:bubble3D val="0"/>
            <c:spPr>
              <a:solidFill>
                <a:schemeClr val="accent3"/>
              </a:solidFill>
              <a:ln w="19050">
                <a:solidFill>
                  <a:schemeClr val="lt1"/>
                </a:solidFill>
              </a:ln>
              <a:effectLst/>
            </c:spPr>
            <c:extLst>
              <c:ext xmlns:c16="http://schemas.microsoft.com/office/drawing/2014/chart" uri="{C3380CC4-5D6E-409C-BE32-E72D297353CC}">
                <c16:uniqueId val="{00000003-4E4F-414E-BA3E-9C8A302226D4}"/>
              </c:ext>
            </c:extLst>
          </c:dPt>
          <c:dPt>
            <c:idx val="2"/>
            <c:bubble3D val="0"/>
            <c:spPr>
              <a:solidFill>
                <a:schemeClr val="accent5"/>
              </a:solidFill>
              <a:ln w="19050">
                <a:solidFill>
                  <a:schemeClr val="lt1"/>
                </a:solidFill>
              </a:ln>
              <a:effectLst/>
            </c:spPr>
            <c:extLst>
              <c:ext xmlns:c16="http://schemas.microsoft.com/office/drawing/2014/chart" uri="{C3380CC4-5D6E-409C-BE32-E72D297353CC}">
                <c16:uniqueId val="{00000005-4E4F-414E-BA3E-9C8A302226D4}"/>
              </c:ext>
            </c:extLst>
          </c:dPt>
          <c:dPt>
            <c:idx val="3"/>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7-4E4F-414E-BA3E-9C8A302226D4}"/>
              </c:ext>
            </c:extLst>
          </c:dPt>
          <c:dLbls>
            <c:dLbl>
              <c:idx val="3"/>
              <c:layout>
                <c:manualLayout>
                  <c:x val="6.8387098800735291E-2"/>
                  <c:y val="0.1878581744742629"/>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7-4E4F-414E-BA3E-9C8A302226D4}"/>
                </c:ext>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extLst>
          </c:dLbls>
          <c:cat>
            <c:strRef>
              <c:f>Sheet2!$P$17:$P$20</c:f>
              <c:strCache>
                <c:ptCount val="4"/>
                <c:pt idx="0">
                  <c:v>Horn of Africa</c:v>
                </c:pt>
                <c:pt idx="1">
                  <c:v>Levant</c:v>
                </c:pt>
                <c:pt idx="2">
                  <c:v>Middle East</c:v>
                </c:pt>
                <c:pt idx="3">
                  <c:v>North Africa</c:v>
                </c:pt>
              </c:strCache>
            </c:strRef>
          </c:cat>
          <c:val>
            <c:numRef>
              <c:f>Sheet2!$Q$17:$Q$20</c:f>
              <c:numCache>
                <c:formatCode>_(* #,##0_);_(* \(#,##0\);_(* "-"??_);_(@_)</c:formatCode>
                <c:ptCount val="4"/>
                <c:pt idx="0">
                  <c:v>93475.81</c:v>
                </c:pt>
                <c:pt idx="1">
                  <c:v>215999.92999999996</c:v>
                </c:pt>
                <c:pt idx="2">
                  <c:v>392186.85000000003</c:v>
                </c:pt>
                <c:pt idx="3">
                  <c:v>739772.69000000018</c:v>
                </c:pt>
              </c:numCache>
            </c:numRef>
          </c:val>
          <c:extLst>
            <c:ext xmlns:c16="http://schemas.microsoft.com/office/drawing/2014/chart" uri="{C3380CC4-5D6E-409C-BE32-E72D297353CC}">
              <c16:uniqueId val="{00000008-4E4F-414E-BA3E-9C8A302226D4}"/>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w="31750">
          <a:solidFill>
            <a:schemeClr val="accent1"/>
          </a:solidFill>
        </a:ln>
        <a:effectLst/>
      </c:spPr>
      <c:txPr>
        <a:bodyPr rot="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[لوحات+التحكم.xlsx]Sheet2!Weekly</c:name>
    <c:fmtId val="9"/>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Sheet2!$T$2</c:f>
              <c:strCache>
                <c:ptCount val="1"/>
                <c:pt idx="0">
                  <c:v>Total</c:v>
                </c:pt>
              </c:strCache>
            </c:strRef>
          </c:tx>
          <c:spPr>
            <a:ln w="28575" cap="rnd">
              <a:solidFill>
                <a:schemeClr val="accent1"/>
              </a:solidFill>
              <a:round/>
            </a:ln>
            <a:effectLst/>
          </c:spPr>
          <c:marker>
            <c:symbol val="none"/>
          </c:marker>
          <c:cat>
            <c:strRef>
              <c:f>Sheet2!$S$3:$S$42</c:f>
              <c:strCache>
                <c:ptCount val="39"/>
                <c:pt idx="0">
                  <c:v>1</c:v>
                </c:pt>
                <c:pt idx="1">
                  <c:v>2</c:v>
                </c:pt>
                <c:pt idx="2">
                  <c:v>5</c:v>
                </c:pt>
                <c:pt idx="3">
                  <c:v>6</c:v>
                </c:pt>
                <c:pt idx="4">
                  <c:v>7</c:v>
                </c:pt>
                <c:pt idx="5">
                  <c:v>9</c:v>
                </c:pt>
                <c:pt idx="6">
                  <c:v>10</c:v>
                </c:pt>
                <c:pt idx="7">
                  <c:v>14</c:v>
                </c:pt>
                <c:pt idx="8">
                  <c:v>15</c:v>
                </c:pt>
                <c:pt idx="9">
                  <c:v>16</c:v>
                </c:pt>
                <c:pt idx="10">
                  <c:v>17</c:v>
                </c:pt>
                <c:pt idx="11">
                  <c:v>19</c:v>
                </c:pt>
                <c:pt idx="12">
                  <c:v>20</c:v>
                </c:pt>
                <c:pt idx="13">
                  <c:v>21</c:v>
                </c:pt>
                <c:pt idx="14">
                  <c:v>22</c:v>
                </c:pt>
                <c:pt idx="15">
                  <c:v>23</c:v>
                </c:pt>
                <c:pt idx="16">
                  <c:v>24</c:v>
                </c:pt>
                <c:pt idx="17">
                  <c:v>25</c:v>
                </c:pt>
                <c:pt idx="18">
                  <c:v>26</c:v>
                </c:pt>
                <c:pt idx="19">
                  <c:v>27</c:v>
                </c:pt>
                <c:pt idx="20">
                  <c:v>28</c:v>
                </c:pt>
                <c:pt idx="21">
                  <c:v>29</c:v>
                </c:pt>
                <c:pt idx="22">
                  <c:v>30</c:v>
                </c:pt>
                <c:pt idx="23">
                  <c:v>31</c:v>
                </c:pt>
                <c:pt idx="24">
                  <c:v>32</c:v>
                </c:pt>
                <c:pt idx="25">
                  <c:v>36</c:v>
                </c:pt>
                <c:pt idx="26">
                  <c:v>38</c:v>
                </c:pt>
                <c:pt idx="27">
                  <c:v>39</c:v>
                </c:pt>
                <c:pt idx="28">
                  <c:v>40</c:v>
                </c:pt>
                <c:pt idx="29">
                  <c:v>41</c:v>
                </c:pt>
                <c:pt idx="30">
                  <c:v>42</c:v>
                </c:pt>
                <c:pt idx="31">
                  <c:v>43</c:v>
                </c:pt>
                <c:pt idx="32">
                  <c:v>44</c:v>
                </c:pt>
                <c:pt idx="33">
                  <c:v>45</c:v>
                </c:pt>
                <c:pt idx="34">
                  <c:v>46</c:v>
                </c:pt>
                <c:pt idx="35">
                  <c:v>47</c:v>
                </c:pt>
                <c:pt idx="36">
                  <c:v>48</c:v>
                </c:pt>
                <c:pt idx="37">
                  <c:v>50</c:v>
                </c:pt>
                <c:pt idx="38">
                  <c:v>51</c:v>
                </c:pt>
              </c:strCache>
            </c:strRef>
          </c:cat>
          <c:val>
            <c:numRef>
              <c:f>Sheet2!$T$3:$T$42</c:f>
              <c:numCache>
                <c:formatCode>_(* #,##0_);_(* \(#,##0\);_(* "-"??_);_(@_)</c:formatCode>
                <c:ptCount val="39"/>
                <c:pt idx="0">
                  <c:v>8104.52</c:v>
                </c:pt>
                <c:pt idx="1">
                  <c:v>32573.07</c:v>
                </c:pt>
                <c:pt idx="2">
                  <c:v>5341.95</c:v>
                </c:pt>
                <c:pt idx="3">
                  <c:v>10889.25</c:v>
                </c:pt>
                <c:pt idx="4">
                  <c:v>4858.3499999999995</c:v>
                </c:pt>
                <c:pt idx="5">
                  <c:v>2364.8000000000002</c:v>
                </c:pt>
                <c:pt idx="6">
                  <c:v>73428.06</c:v>
                </c:pt>
                <c:pt idx="7">
                  <c:v>48524.369999999995</c:v>
                </c:pt>
                <c:pt idx="8">
                  <c:v>27503.5</c:v>
                </c:pt>
                <c:pt idx="9">
                  <c:v>63035.6</c:v>
                </c:pt>
                <c:pt idx="10">
                  <c:v>42211.44</c:v>
                </c:pt>
                <c:pt idx="11">
                  <c:v>42854.05</c:v>
                </c:pt>
                <c:pt idx="12">
                  <c:v>48980.51</c:v>
                </c:pt>
                <c:pt idx="13">
                  <c:v>12459.98</c:v>
                </c:pt>
                <c:pt idx="14">
                  <c:v>15722.91</c:v>
                </c:pt>
                <c:pt idx="15">
                  <c:v>26395.84</c:v>
                </c:pt>
                <c:pt idx="16">
                  <c:v>28944.21</c:v>
                </c:pt>
                <c:pt idx="17">
                  <c:v>58732.18</c:v>
                </c:pt>
                <c:pt idx="18">
                  <c:v>46466.869999999995</c:v>
                </c:pt>
                <c:pt idx="19">
                  <c:v>27303.4</c:v>
                </c:pt>
                <c:pt idx="20">
                  <c:v>22301.739999999998</c:v>
                </c:pt>
                <c:pt idx="21">
                  <c:v>71390.76999999999</c:v>
                </c:pt>
                <c:pt idx="22">
                  <c:v>39885.11</c:v>
                </c:pt>
                <c:pt idx="23">
                  <c:v>74540.19</c:v>
                </c:pt>
                <c:pt idx="24">
                  <c:v>67998.080000000002</c:v>
                </c:pt>
                <c:pt idx="25">
                  <c:v>18257.439999999999</c:v>
                </c:pt>
                <c:pt idx="26">
                  <c:v>49971.24</c:v>
                </c:pt>
                <c:pt idx="27">
                  <c:v>84499.66</c:v>
                </c:pt>
                <c:pt idx="28">
                  <c:v>15986.720000000001</c:v>
                </c:pt>
                <c:pt idx="29">
                  <c:v>30980.519999999997</c:v>
                </c:pt>
                <c:pt idx="30">
                  <c:v>34104.870000000003</c:v>
                </c:pt>
                <c:pt idx="31">
                  <c:v>36596</c:v>
                </c:pt>
                <c:pt idx="32">
                  <c:v>4225.32</c:v>
                </c:pt>
                <c:pt idx="33">
                  <c:v>21961.190000000002</c:v>
                </c:pt>
                <c:pt idx="34">
                  <c:v>25028.19</c:v>
                </c:pt>
                <c:pt idx="35">
                  <c:v>81525.570000000007</c:v>
                </c:pt>
                <c:pt idx="36">
                  <c:v>98060.78</c:v>
                </c:pt>
                <c:pt idx="37">
                  <c:v>7727.6099999999988</c:v>
                </c:pt>
                <c:pt idx="38">
                  <c:v>29699.42</c:v>
                </c:pt>
              </c:numCache>
            </c:numRef>
          </c:val>
          <c:smooth val="0"/>
          <c:extLst>
            <c:ext xmlns:c16="http://schemas.microsoft.com/office/drawing/2014/chart" uri="{C3380CC4-5D6E-409C-BE32-E72D297353CC}">
              <c16:uniqueId val="{00000000-FBC3-42E5-A0D9-E8170DB6F32C}"/>
            </c:ext>
          </c:extLst>
        </c:ser>
        <c:dLbls>
          <c:showLegendKey val="0"/>
          <c:showVal val="0"/>
          <c:showCatName val="0"/>
          <c:showSerName val="0"/>
          <c:showPercent val="0"/>
          <c:showBubbleSize val="0"/>
        </c:dLbls>
        <c:smooth val="0"/>
        <c:axId val="397097448"/>
        <c:axId val="397100328"/>
      </c:lineChart>
      <c:catAx>
        <c:axId val="397097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397100328"/>
        <c:crosses val="autoZero"/>
        <c:auto val="1"/>
        <c:lblAlgn val="ctr"/>
        <c:lblOffset val="100"/>
        <c:noMultiLvlLbl val="0"/>
      </c:catAx>
      <c:valAx>
        <c:axId val="397100328"/>
        <c:scaling>
          <c:orientation val="minMax"/>
        </c:scaling>
        <c:delete val="0"/>
        <c:axPos val="l"/>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39709744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spPr>
        <a:noFill/>
        <a:ln>
          <a:noFill/>
        </a:ln>
      </cx:spPr>
      <cx:txPr>
        <a:bodyPr spcFirstLastPara="1" vertOverflow="ellipsis" horzOverflow="overflow" wrap="square" lIns="0" tIns="0" rIns="0" bIns="0" anchor="ctr" anchorCtr="1"/>
        <a:lstStyle/>
        <a:p>
          <a:pPr algn="ctr" rtl="0">
            <a:defRPr/>
          </a:pPr>
          <a:endParaRPr lang="en-US" sz="1400" b="0" i="0" u="none" strike="noStrike" baseline="0">
            <a:solidFill>
              <a:sysClr val="windowText" lastClr="000000">
                <a:lumMod val="65000"/>
                <a:lumOff val="35000"/>
              </a:sysClr>
            </a:solidFill>
            <a:latin typeface="Calibri" panose="020F0502020204030204"/>
          </a:endParaRPr>
        </a:p>
      </cx:txPr>
    </cx:title>
    <cx:plotArea>
      <cx:plotAreaRegion>
        <cx:series layoutId="regionMap" uniqueId="{BA862481-8DC3-4DF1-9470-71F2293AD5A8}">
          <cx:dataId val="0"/>
          <cx:layoutPr>
            <cx:geography viewedRegionType="dataOnly" cultureLanguage="en-US" cultureRegion="US" attribution="Powered by Bing">
              <cx:geoCache provider="{E9337A44-BEBE-4D9F-B70C-5C5E7DAFC167}">
                <cx:binary>7HxZc9w4svVfcfj5o5rYgYnpiRiSVSqttlu2u+0XhizLXAESBPdff5OW7JGoalX3N77R/XD14IUs
FoCDRGaek0n982b8x015e928GHVp3D9uxp9fpm1b/+Onn9xNequv3ZHObprKVV/ao5tK/1R9+ZLd
3P70ubkeMpP8hH1Ef7pJr5v2dnz5r3/CtyW31Xl1c91mlXnT3TbTL7euK1v3zL29t17cVJ1pl8cT
+KafX55Wzedr8/LFrWmzdno71bc/v3z0kZcvflp/0ZNBX5Qwr7b7DM8SdIQ4Fz5F8uWLsjLJt+v8
SFHEsWD+3Q/5NubltYbnDs/j6yyuP39ubp17cf/3f557NOf/XM5cFd4tOKyW6Z2++rqenx4D+q9/
ri7ACldXHmC+huPQrTXk/y6T2ya7/rb+/x5zLI8WTDHn6v7nEfT4aLkqMb9H3kffhr6D/g/MZz/2
3x9cgf/9+hr96ONfj35wnTbX2Q+0eMyPEGMIU87u0H9s+Mw/YoRSjpTca/h/YD770f/+4Ar979fX
6Ae7vx79TTLV7Tfz+wGWz4+Yj8Gysb/X8tWRFBT5Cos77PG3oe8s/+Bs9iN//9gK9/ura9Q3x389
6ifNtf228v8edEKOfMWYRD575GcoPUKCKsHJvY9f+ZlDs9gP9t1TK6zvLq6hPnnz10N91g3X2Y+0
cHWEBSGAN9ln4VQcAeKKCi7vbotv+3xn4Yensx/1b8+tcP92eY382a9/PfLnt5+uTfUDHTvYucIY
I5+rR3ZO2JFUjDCG0fctuUuf7jD/AxPZD/r3B1eof7++hv08+BvAnn2arr8Z3X/vXCCaSrzEywcu
+0EaieQRwoQLTNWdR1/5mPNDs/kd5O8eW+N+d/UJ6h/+etRf6R+ZtGN0l0BKjr6j+gB0JuA24VLK
FdqHZrEf7LunVljfXVxD/erir4f69XV569rM3B4y8v89xvDmur1uDg3/mNI8x9EwOyKE8IUSfHdg
D7cbHWEMDs4nZG/GenA2+7f9/rHVvt9fXW/8m3//9Rt/dd19zl78u7n+9EPJGmRJmGMJqdKjqALZ
E6MSKeTf56qrs/ZHZ7Mf/MdPr/bg8c31Vlz9Hbai6tr0xVX3Q6UKcSTB/ilB9M7MfWAHD44BVkcc
lAyIM+ud+GOT+Z2NePjweh8e3nuyDVd/gxPxYzcAgclLCj8rIgHIU4UEV+I+qYX862GCddAOfgf6
u9mvQb+7+gTu6G8A9/RDZSJCjzj1keTkniwDV3hg70Qd+RQ0ugX4u58V6odm8zuo3z22Rv3u6hPU
/wap1dvOZO5HenzgEZISRX0BmucDwMHKwbeQxcPc/ay42x+YyH7Ivz+4Av379TXsby//emN/9+/N
N3v7ASyCLgktpkLda3KPGRwDZgeeX6JvBA4ku4cO5p3J2tvPX0P/i43Omuv21n37xL7J7d+G/d+y
2pP9H1pv0IINyPCrDPPJhf9V2fpXyIJvG/Pi6hrKEtfPwbFnqoc08rtqxlcc14WOtXz+4Vbf/kCW
j/gRoQLk228K4mP5FgQWqRDD7AEffWgqB2ez3zbuH1sZw/3V9e5/+Bvs/n47vUNi35H4c1Uj/H/n
9Ulp78npfnCGvrO7CJjh5mvp7g/f/XbIVo8+VwG82+aTzz+/BGnmqye6I5vLVzxynN8jzOqJ22vX
/vwSoaPFHRNFKCcITh0EvAG8ys8vxdEipgkokUgJYXIJlKZq2hTqiXCLIhDhgC8x7jMKz7glT4Zb
/sJTfabgUcJ9wvD3SunrqpySynyH6f7/L0ynX1eZad3PLyEi1HefWtYlMCJEioXwCigoCKV8uH9z
/QsUY+HD6P/lI51Hf9ImYMjXH8t8SE9nmqkojbv+avDKMpqaeXwtjD+cIa9xxw9w2jM8ezI892Et
QmLEGfMZeKGHw9OJtDYraR10lqPLyszdp8zF41Ur0mb7J4eilClgNsynXAHHB3rzcCjtxXR0gzAB
MXn5dmxzHlZlF0cWlerAqp6ASkGX9hlBSPpE+mxZ9QNQSWPGphlVGfjMZUGLvMwLCtVrFqQzq7Yz
DPmW91Kj7ZSk6tYNbiInz68WgYE+3lhYpQ82h6iQYHhstVyXdcngN4UO5rjPq92ghtSFzJQdi+Sc
URUgWzfbZqrnUyem8gNLKPaDnhT1e1LSNt96Vsyf+WAd3pihqfWdKHt3Qvbs/NP5icWGCZROmIDK
+YLhA4yySZZo5nURGDG7i9rL+1NPW336PAz4iYFRwWAg5FMoFC/lm8fD2C6vlUVpERSeyeKAy3Fi
AennCsBosP9BjEn2SneeK0Jq9DAf+32tkmAQmn4edNykb7IGp2+sNX0RWttX3kYmWVNGnc79q9xV
Ygg7+OosHKpSbOc5cZdaiZYEYmi95rgpJky2U0r6PLB5TW+eXx9f7TL2uQRJnkOoBvdCMXiQhyhK
TPUEZ1wHuCuKLS98ubVw3IJh0sPGtenw+vnx0J4BQSMTTPkwIMH+asBE5d0gq1kHKPWPKSuLAHTr
qI+7CMfFRxk3V5Vkx7l1garoh8Hnp76MIyPbY8PNRbKA6Lz+gLGDM3xk64CCAgw4xQg8phSrTRbM
85nXTzpIG5Zd1eDJNjqebmdXyLOR9jgsrSvD55FY2y/mgjMMQy4nHE776nzNfWrGhKo8UIWsTlLs
F1tTuv5O2f3Dp2QZRfgSBoLEHYNo83h/u4xJl+MYbKesTUiGloQxd/wAfvvWAlGAwsYSCUW3VRCY
Rsrj3iyj9GVygljLo0qJ8o4+/Zm1QIyTENekgrxziXYPbdUqo72xqeAoZvZaUzJ8RLahnw9sC14g
eRjRIGPlMAwCUX/puvnqGB84lhFxV6Ge3TSqA2fvpwMrdjybVX3LUcnCvvaTX10ylv4uodTDUVnM
gm0S1CdeZIe6HC67llT4kmUZzYPOL0R1STRr3c7xfErCcW4re9LSNpFhPjZtFuLRZTLInCjZG92P
tjzDvJTkPMEJPEs7O9WnacxqCD2Tj+awd3He7RzJTRGZJm3rQKSGvppt0ifBXNa+juIuzXdJ0Sh1
bE3WVUEPG2KDSbO+iJokHz+1DBV51LSDMcGsmzyBg1UPyau6T8hunJqx/NVjZBJhWwnPnZep7uZf
OmJn/11cpQk+7rumnTeDQs2NGj0v2TaNnmXotzzXO5GVpIiKrEn7yEz+QAMrsLZRW+Hai5reTXpr
ayaT44nOza9+7fU66vw4abc6rtkrY5vC30yNlN1pPNf9HBWGVShqSxdPF7R2No0GPFZTxDIqXERj
lL6VfO78oGWpQltvUlwGiE7xENocS3uM286IKK4a2gU+sR6Eb+QY2gyo7JLQ9YjsfOT8ZpvMZUVO
JKKAT+HYfCIL4cEzLvE/VpOuik2d0S4O6oJ5dovGNtVRUi8IslKX7WbiLHnTjiOEvAxi9uWEs2YM
EoA0CfK6lQ42Y/KKYM7n/sM41cVtM5DebUSSF2pTwezfNX0DRlBS+gtqJ+S9gi9r0rCIEdebpuj1
eIzrsZ42WRHPvxY4m/yLscrTdoNG46utmkaznag28Ql24IRPsZzaIZANKcrXXu9ss0UFLrKI5Wlh
IcHovN9Qo6pp49VW26AuG/1Bkl5/irO0LwPISbPsYrJjUgUi52N+iarZfvDHvpSRlqAL7ZpM5jhy
vrafe2K7IlA463cZKsopSiyfq3BwpTup5tTkADwzYwi2NKFNTD2Uhr0UWoS9LUsLOYRuWkgbGSGh
yUbyiVWV9DbQJ6j8YNRe2m1TMaLyrEZFP8CEhvx08Lrik50gaoXVnKA2qDl1JhiFbYswqbwK/J5x
EKSzSiTXk7CK7rgtabPRk4c/ybEYXej8qhqDRo8ejRJft5fajkac1CQxzWke26l/zUrF4KT4g8Eh
LnCMw8Q2cgz9vEQkEr0S8bafUp5tElPjIWSswCbAc+21l4xIOh6bqZvF6653+AP3bF2/jt2UxO9Q
61h26k11fJJojIqwq/vMhtr1Jg1dMWIeZkPK6yBx3vghH5znwqIf+yqKR4H6rVPOfJxUNrwhaZni
JMCxkO1GDpa1gStilm+paznf1H2NeGirqZiP06KmTZgVc1se47RgVZQlyNmg8XtBdtJ0cxuoSdYn
WeIKcz4zMUIKBD5ThVKmjgZVlxAejLMS3YaYRp7Z2vU4wKVWJpy73lyWrkyrqKFVWgbjoOn8GstO
FoHEln72cxKjYzpOWbrl+Zj+isqq8sM6LurPGWnFBa5IVm1I7UMc7kaVb5BRzgtNLuszjix/C1OK
L+LcySqAJgccB01ROhKNpbW7rGx6OLZ5Y8qgZ4ZfZaShJ55s1BBxv6QXRS3MENhY6CHgpi6SKCvz
fg79rFanOC2r5gJ6ByEbylPSkBPs1/EVFTOsuNck+aySDl16dBb2RMtqGkIqS+dHUIPv5uOiVHMd
EVYP9nUftzM/YbymSWjYoHjI+VTGgebOXjdMTme+RjoLaVUIFPZ9Wr5Ho1bVpgZvdTxnBtGgNCmx
20xJ14Us1zpMSMyDVszo1TxmWbKpPeaGMJ0hrgUJZjpKO4pO4Wxqcs6V550ZO+AZgFD1m1JbXGxr
03AbJHoYynAWuBwCnKMki3KZtzxoRux9gbPgfpugQfW6qiuvCYbZEhYInXI4smPb+pDG1VUSCBnb
PhjGZCrCtPCADtY8UX7oK925YKwF+6hogXCYpr1020r0bR4wl7Ym9BLtvZ56rypCf/A8P5xhzBtq
BhdvLa0yFHhzKrvQZbrxN0NeD3jTEpL8lkNwMqc0wSkKmVdZFjQV914lsVYq0t1UXcU8w2mQoywF
wym77G3RjvKdGuv4i+5U7kLPWuyfA5saZUCKKTPHc1onX5zsU3rCCqLfT5DBqQAnjnVROpopD3gW
ExFYL5EyiOOmuei62J17cKhtkBWifs1rPkDGGPf4XRmnrQzBlcgPc2vrN8wrzbuqcBSFBU4xC7GP
axuyyvh9xGI+TRvqUyLfiDovxx3qRlocT8PUeMcLIJfEiGo4TZ1VfZTKpivAv9jhRvfUwE5w3xYQ
Pb1awx7YTgV1zmYSaNMHMW+5CXSvewljKnAjGHW+tyOQ9UOY6sB8SRB7oujCFi/HSmXLrvbG6ks6
I5NFXBWjwUGXNXQMymby0HasfZG8Jgk145WHaF42IeKiFacVXOuyYELJJIPciAlOGS55MpXRKMZO
nlhXMVAGKkxi8LKTI1+6lCIdjTaRRm9ckXGuo6+J3b22e08Y75SLm6qGOkmS3rd5f//vvy6+9Y5/
lYT/c31pFP/P/17Vt+aqbW5v24vrev3JZbzvH/2PcLxIOt+Vp5VE9Fik/TM3/5i4BLzlQY77RFx6
2G2yaDZfP36nLDFo9CQcdBs4wQr0IAnE505ZAlHom5QErUVEcqwUSD0g9EBm/F1KAhGYgxwC1BiM
i4M+Qv6MlMQXmvUg8wZWCM0VCxWSSkDeTVayR9aKLNe5ZBHyJEkCxRkptl6S+SRS44Re99nstSd9
L3t74ZlRmaDoRtkFE+QHJvLqhtSBN5L6S+3FQxH4Xh1f5rjq48DqTsCfqWvyoO2QagNTx+xGunaY
ApJATh/FShb1GSs0JEQEKXblmb5/7082ZWFWV/kUiAYbGlFVDx0EQeu/aVsv/c3MM+sCmcoiD5wv
/THo56SeAlrVuNgh1LDyLJ+rFAeja8YPWkPCHOGxIRQkHWGnILO2QVvGPF5u2hZV3RZXOTtlqczj
Y20ZxeHQ1fN82pAGPCidHCo2qp41DWZWZsUWjktG3qqq6M/GtkhFQBOSw7/HXIowSyY1BW1iGQog
dsy7WVcQTmg8We9UVDGGLH1IyVWPYJHhkhXEARLNARkFgfk83lrgur5ahDMfur6hQv2Yu5UxKv0u
5zQaYlWbXd95zAbxoPWw43HJ3+RlpaKYeTpqcSoufQc0IuQl+IEADULu4IvNASlipUQQYHhSLWxS
IEYXjefxlFBZJzodFCSwXUEukcfHqLKD3OXp2J5iG8sD+uGe8YCDCwqDYiCwZBEhHvDKIfb7Es8W
xhvdvO3aJvsQy6qNdFu5G4Tz5oCIuFKuYH1wiEBZAP0QzjZoLY/H62pQLzBU86IygaUVXjKc0mrI
wziLywNLW/H/u6HAjWAKlXAAc6UyuEo5YNNERt6Uy43xxuomG+qZ/jnJD6QFHzqoKfyJQZNU/oLw
AwSzoa3yOclElHhYbpJ0tts0mcWBUfBX0euBH6JQtQJFGRR3Cv1csJ7VcophpEM2DzRs49j1asNH
5o0RSgYynfakzey7Dpc++1ACdfGOjcDZl8TkuN7Eua1kHBqQkZYoSYFsg4BQjOOrcShTBFLuQOMP
OU0yyONxBRE1yHkNWeuE9RAH+eAnZgdpuHercm71hUqI1++6cea/0sFrp83cdmBABTjJJgkMZdgF
pnEahXPLOhIOcpj1hxRR60EqqGYg2bIYE3B32LAm3xKPlFcD8cBHtH1TmCgvca2OM+di+sZ4tk9D
PQjuQ8KgU6KjmfVJc8bjjgwx5FidV+LA9eCAWRhrJlAV+jpl02kReyMLk4KLcucZNiVbg3RVhcjw
Xl+iWRtg7rzLDaQarhDxWVeNGixRayD5iY9ALe5FVpcm4P0wxee694FBMdvP5WU8+DV/x3Xc96E0
bc4+NYUz5cZiV9vjVDpnzvzKxL9p3HguUnOVdb+NCsubOffLN6wosnEOnEVZ+3o2hZe/1yrNmzdk
sl3/1leQau1kVlTZxVyYug9caXTZhXE98MxGOcMEAXOKp27Xgg5hz+dizIv3STbR/BeLIatLQtKk
2eXcGQ+fzfnYTZ9YCWQzUq206lXf8XiKrJZNuoURgagUY53JCDR09mkqyvJi8JJpCNK+Zn3QeLmr
P8dJWeR9kINE1O0YSBkkmDlynAVSN573zutKJd4VcOKqMMs6WW4rEKjohjZEt+9c2lX0qp9ROr4v
8ywxG5fIcTwedAnkBklv6l+VdjaJF/SxLePfKLA9fgqVpKYNuJcg8xH2Ik3KXdoOAiWRFazH1zjp
hNce10BN7E0iSzEMYZK4oQiNBN4ZDgnpvSAmGcILEWZXreGeF0hvAGJVZLQ3ZyWJpQ1U07lpB5qK
Kk8bZcWxSwfCj2tamS6ox65MIQi4Wh67vpOg53geEZsW5p2HjQH9YGubucO7WhXVhwmDTUZzVwxJ
0LXKjJE/VG0ZlC6JY5BHOgZHbICXa0IxNHF7KlvaJ5uyZrOCVNvLgPjFcnonpzg59w0t5WYkLJuD
EpaqNqDVIB6wgTYncy5qGqXN6FTkxQZoc+chnEYak7E4BmbgZUGm6mkMTJpOU8Br4ifnhIJmsvUl
6qddimt2lrcZNsemsOrjokTU27RpRBJ5GOf11tpM8BOubdoGYu446DaIAdtshef1AcjW5gIXvUpe
9W3XsLdpChRtV5HO70NU+ObS9UzU4I/qCjQ+HSdvaQ/rBYXCg+AiIc7oIkRdTvR8MdGmLr3IzYpo
mPLMYXNh5qWAcTpQgNJMz+Zy9HI9B3psMqx2I8QN8EB0Thp6nHQ9x4k9tQRbrLuoM2WZbEuZWRd5
Yq41Pc4GE6PkgGq+LkstbYdCQMUCOuAgnSBqlUiAC2mhkhIPwMbyDjJAyYuYXjYNscWmq4Wq34NC
NMwnGAh9dux7Cf7YwjFR56ayfXtuC+YjkERHX4ao5ZO6THNgU+8eJNj3VONhUXQVeimQQkhiISxC
fwT1iVjp4cbESZo1eRqlA+iyagRBlnfxEJAZeQdCL1rJ1V/HIgIC4hLoIQlfBSvIJmtwDCKN/KY3
W1JCaSWTwxBRXLH3E1PZLzWpY7iGk8tYev6mGlUcNkVaHygCrPKbZSIIasBAIiS8WIbIatHK+g4k
G6CKmE6C7yDUJJ8o+MMxyGJfqHPZxJQfMIdV4gHWAGkAgrovpHJcPqkm5TFIIx6lQ4TsMEWtAe9a
jiDQPr+dT0eBJJFwAp1PAmplapVJ9SPJ0rpHU1QNPd0kdZIf98qfD+Qde0bBEqrowC2WnJSsshtb
Qd5T6myKTNr6bxpH8cngOXHz/FpWpS5KMHw5UDUkl3cvYbzHORRxeIACQ5lHnS3FhilLQ1aXaKsq
BRFCJmOUejS726b/494vMYZt/P6m9xPu/Vz7z9e+kOXxey6+0GzwFVJARrFQaTjI91wc+j+gSwPq
8JD3Ego0+SE3X0qXWDKhBLTlLe7yvs0D4yPoFuEI/KQCq5VM/RluvjJOGFMQKI5CJwmUExmIAI/N
hiutbYlB4Ye59NuCKnOSxYYfOAJLzf5B4v11FErAsRMFhUT01dc9SPAlGTJSNx2OsM+a0KsG8tHr
ugryED87R0J4UGDkTTS3KXlfDnl1gBGu3PYyPHgU+BFYSYLFypWWc6YrEOGApMJR3Hjar8IapSQi
TS0PrPSp1LEMReH1RGBNBA79YzxJCRo99kYalVZtqZ7fDhxqizqvbDAL6PnoPciFWpx9eGB9ewLT
nm0EfKEbCDYR/kHI42GhrORBjQrKG0Oag/4cK29bx3F/gHmuIsFXHJlcXhGAwjr4y9XiCqjozzJm
LPK9NDufxtJ89GDcAGWanvtF0R3waesYuAwI58UHNs/lwrBX1qlqW6FuECATtf0YQv1Zn3g5g+Rj
jnHVQNHQi7uQF1psO3gr+guQpI8ZcAZQwFH97nmE0QLhyoZhLtBKAQ1JEnSF1eJdNgmB0oRGuu9B
ZuUimsbsVax5lMR9HJJ5nsIqdhcM5nwiCQJJteIfk3yALNDv7J3n/d2a+R6TfjSbVeiS2vmZoh6J
mIcXPueuocbqn/qV89MDJr3HtuCNfaRA5qGgNywy4UN23tKiHZKxWU6PUyejLa7K2uGz5+Hdux5A
BfrtwSVCN9bjQUoxoc4YDDsNJ/V0eRcrHEWe7kC2qg9Y8aGhVkZF41aOPKck8kWaholIVSC6+qKF
Utjm+UXtRW5pv4GeL66goPB4UUAUZurAI0U1SISbSvj2bCCd/NOmIKGdR1DwaxJyJr6s94FzBULZ
0lrICgoNxD8xep5O+qLUJ3HXuf+PoSgYv6+W9ixoWXw8FNCICSiSqCM96Pa9zhNvN0uN3ycubv5c
gwscfQmhDV58hXY5CW1Fa6vrqtw2yq+jaQDuk1ZNH/CyGQ/s0CprglGWdjx4rflraIDY8HhBE4cc
nlSojiB6o1sOrRfnbuYq9LnzjwfM0acc9/HuebN4aoCPB108zYMN66B4rUU81BGPkXwvQZ4Jee6L
NoCGQ37A2J+a4LJVIISCGTJ4e3u1Y5W1I2UNd7BjcRm2owJqR9v4/PkVPQ0M0MXKvlqfgrCA1skn
kiXoOMxFBnloR1wtdiBg0oAMGmBEHjvQMbRn2yDLXZiBENDgtjYOVo4CKreoi2ZnMVSI52oIYzHW
Z1A7mE5tzruNiqGn4flV7tk3SLAXEKFWQjBeOQ4B3TFE6bSLCkVYyE2jT6GU3EYyR82BBe4B9Otv
r4FBwPFiuQI0TW0/JmMPC/S7/lXFmu7Kn0FcqurRbmmq5HhgbXtCLURZBpkm5C3w25bW/ZAuKdyI
bdZEBRTvA+xaU0GQs6DmlwPURePMYqiRVg27rgUtdNi0XftGocG+yZSV/QFHs0D5ONhCcgsYg0sD
ggbvrTw+IllrCgEtN03EFmkpGNsSmQ1q22IKUpPYX1w+aRFMI4euqTxH+SFFeo+BgV8Gnw31BwBk
qZo9PKK9cRgNKYzfqTbeEuPVUTm4Nioduu5ylZ7YbmgPrPmJeQG7hhQCL34PelIhr380Jmi8aG5b
Bw2TyOQb12dQBoP+mHCqlnexv3OVPdni082GoaSk0PMMawNHvhqqbkkiuQN5ZzAIWla1wPGx9GN1
0vCW+NFgB3o8VXG+mSdHRYjjVJzIgXanohxsFj0/mz3rJj5ss5JIwurXfXmDKUH9xiDxtrqBHgRP
2F9YCV1fllX5gaDy5FhBWzwwfgzEaTHzdVfsbEAP9Jhuo9qv0k2T5SKsvWR8F6fxuE2mTv72/NKe
eF8YD0NUofBmLWTMa1LOvT4XTQweo0mVuinGGfh423gnz4+y1s4IKPeEQLwEcQqoBwgNjy0n7+M4
m9kAy6qL+Aw5VWRBVVRl1HoZRqegCTabYoSGjXwk6XaySb4RxZidDrVsX2uvSGwwdgk9n2WbbZ6f
2z4EGLxLBLYGbxFAdefx1Dgue48bAgfZJz4UWci4nasyPZA9Lgt85C44FKuh2v11CKhILSb2IKJm
XewlJZtdNBVZnYZpPxfn2VwkcVTbDh8Tz88vHLjUCFext2OZUt4BI35KD5YpkEXChAITvIex8hiJ
RQWq4t5FSVrgDUg18AJBbKA7rsLsrCttG+gydUkAir14BzaqXruh0xtZuCLCc4N2tc/yA2F5LywM
hNXlV+JAO/3KLqAShUVhOjhZcZXVG1r7wBWmwW9FCMGs2JHKjTsohTVbbEAVn2rkxQec2hNHCrBw
CNXASzlkjuv8oykllNig4z2qc2Rf1YBGwIupOIECgPoye3IEG53RgWOOno4KSrIPv5IJWhtAScfL
/Qf2wDt/9JKqHKJYkF9pc2mq9kLGXmQ8GnDihYjyE8KhZTedoIa/7U1xQsTnHkoAbkgDlrShTua7
X533u4xtz5y+vvwBrk4KeHlndRKg+3NM/YZDY2tDuvNicPjS1ci+nqE6E3n53LwSk6g/PX/8njo8
MMnlFw0uXR6+WKcskzVDJ3nlR8aJ/Gz6UrgNhf5V6LlsDr23sWd9EDIZgmou5/BeyQpzPVDTybmY
ofc0gyqczpfOQWOuirJhu7jM5PkMddkD/QdPLRzCBgGVDCQPiB9rbRXRNDZWAqiZBBRTbPLTZHZu
V041FIi0kdkuhjdASFCqbrpscT3/D3vn0Vw3crbR/+L1Bxdy2AK4gRQpkiKptEFxRqNuhEbOv/47
uBMsXtFkzaxtL1w1kqcvgA5veJ7TF6+/4J8PL8ZF608XnMQVJszzmSZq18n6PF2p0g9JRF9NvEu8
qvsytYX5xlA/b6Ub8spFscNzUpM/y4jqrN7isXVBBOkk39AApx/Lwfryd58HEzbVHZYfMlz0Os+f
BwmMEMJnkEkf2vvGcOqdVknr17xt36or/Dw3GYosQEf5tvF0tuf9YZFOC003Q2ZLbAxtceF2do0k
0EjZs7vCimS6BP7fPoy2ExIZKzQlm5r8+Yg8VzXo/RInwNyOVtto1+Y0Om9seT9/p22UU7plbxaN
s8OIXn87WDXyaEfLURdkThOtmcr3r3+oF0chPg5cg5IU3Znnbw8NbjrNabfEhUHsorrMfTdkYn5j
zr3wjQxOD9o4tIFcz9v+/IdvlNOCpLrmEyias3lRVY17gV+u+WDbUsYGbv433t3Py4kGBvVoKozI
xDCDPB9vzodMYW0ZNvG5dmllmhaErV2UHs3K+a3j8aWH8+mabF+JcNs/m+td0VN17rSBvm8v4wzf
UqaL77qe3TJ7yjcSrBe+F3kVmcS2U21n0/MnM4Tfus3i93HTNgE5E/3bXjbD8fVZ8cL729YSjDYa
lNRpzt5fNYyUKDU0rWhRflNJahPsWF96tqTDPxmIJO2E6ME/9/xxtIHOrFFbQzwOTfmhmUoRMfHX
q2Qd/v6OxGyAz7Sd45jazrY9zVdj6if6EOuBUd9alWPtNE+r7+d6tt74Rub2ep7HkVtt+z9jnQVx
q43A3vdIu5vaE1cjrfQ2srw1nSO02smd1Xeju1eaYXTRGLRrSRhVzz1tZ4/Az1rQS0VeYqkOr0qF
JGOZzL6PSgNhYziX7Vw+TFpZ/9aiujDDJVeLF6sVbXj8+rc5lVvOH4OuLcvHJAxCLXb2cVqZSYTX
SI8Xoe+ktLrrAVH35wUSMq1BFey8JNGyENW+dmV2aXJcPLv+B1Nxe5nImn2qZ+eurmEhoV3Mdowr
22gOwiTOrXV3OFA+ct4Y6oWFvMV5RDroWQmtzmb90teV47KTx03R5NelZdlJtAitvmqRX4W1tJq3
+tMvjkhLwSFl1X/W4Dklrdgx78fYpmxykVrucGwDYRehGBLjGq+svH39m76wfaAQ1+nvECTRrzvf
PtbO54MvyCOCqor9YKkQmrnZGzPnhceyObH4ZKcgINj+/Iftvi+Qj44TbXccqXqcTcVw2eRZe1z1
tL3RunV4Y7yXZiobPi1ryqvYJs9jGpWZmWtW/RyjlBqxUjXDfhVmuR+zrHpYmkJ7UtaUabFPCxHD
bRD84g8EQf9g3RPDUaPnJKDs5Gxv/4fnFqJyC0ssiIzc3sCIlZcXGjV1FGC2HK5mu5A3VumP7xbE
/VHlVkh3slmPJg0pJAaE+rYwlU4FckG661dqL6dORssoqrhIWIph2dCnWn1zeON4fmG73/pROp1b
tEYocZ//7oX8Rc8rbYprf0n1EF3WfAzUZNyW5TT9+vdnIDOeJb1pfXX/bG8MJqHpulK8I9kmO1nV
TdjMjtj/g1FYzD7NPkQv58fkpAX+atbIvejgJceiy6rLOhjlW/NuO9rPdki2RxQfpGIOPfbzF1fK
SScEQV+ihPttwgY8RGqVwc7MEze40JUIhsiksPu4JKoso00Y9H7s9OIC9MJ3HRf40SEi2S9eLm4d
e6zGcKHKcZwNffz4+ht58aduEpxtgVvIwp5/4zl17LmoeO8UOdaLpU7VVSHaLBJrkhymAqXoYNT2
L68P+uLEwnu/aYx1F3XM80GbwHQwllYzIub8Uzv4ZqTrzRSKYFW710faltZPX+KHkc4er6PCmW32
vLgcyxZLaVZcy7WY3qiEvPw8qGNoW2N6OD8Rh94VCaU4lOC+L8JWDDpqqn5lZZpBlr+xnbz4SMBB
KX1sarbzVZnlyYBOl00tn3JIDpVeh22n12880kujbHVT+NJbuf48em28mQPD6ebYnqZhZyxyCPN6
Xv5+QE529p9Rzs6d3NC7xrBqJgJ53P1QOWPc4879aNcJDovXp8ILZWlKaFuJlkmH3vy86zEZ9qJn
op+YBsMUC9uHjaCV3XQ5CuV/mtrAuJwtv/0813rxaOLSvUr6IX0H6sB339ohthjpfF7SOWP++xT2
IB8+XwGjSxiv2d0Ug1Eo2OnndKd0+WnGQ3GQbvl9tNK4HFJxmfbdGrpzKvaL/4e+6r/WjF78xhSL
8CISaHsbIObHcykbEqnP6zzFyGnrozMafVg1nXrjFHnBxEGyQA8UJZzlUxU/2w0RwPqVV/HKu1Z4
71Yl8ruc2PU9Z23nw29w+8u0E94uW/LyF83vVZQYnv8ZV2HztIyUhN6YCC+t1h9/z1n8ate5N9kz
Wkc/8ddwaHkB9DPqXWW6/2StQgz3YI2SMsHcef6G85ywhFYIBwHEmXBK7CVWGEbf2OS2VXI+mTZC
Nnkf2aYTWM9HaUFjjM4kpzgjZh/CdFW5HU5b7+nO1nNVxmNQ1Ff60lGpspIMy+TrK+uleUSfB1cI
uS7Z4dkqpmcrvFU4U4wJXV02Y9ZGda7aD6+P8kIfgpWCzIpYiv/Y550cs5H50GNMiFtrkU+F6WA6
Re+sPSzIxt8Z1dypaM7G7j1XschfnTyYZShGxDEXKyycT5PZ2XQiEo3GbqqkeovM8dJJyjvdFAUe
RXHr7C00eaPP+ahPFDN066iEvoT61Hu3q++ro1s5VWjbynl4/aVs+8T5p9/iSnurCCHONJ9/eiGG
1MwVe9pSFekuld3toFVZNLjOF6PXPr4+2EvfGVzupqQmqrbPjTRmNbhAm1guNIzNS6vxe2zSzvAP
Th70ij76Z/YlYpLnjzQaueOplPdoze5O9KW6XfuxvX/9UV5aMp5rbr0z2u3YmZ4PktpLQYhNf6Dw
rO5j0gfGe+Wv3WWptf3XRLODXZZYwGT0yXjj8V76YjA/qax5AX3S87okDTq4SGiEYktogjpkKy+b
GpbBTrm5IUOlq/zx9Wd98bPRxHMpSaK0OrdZNZU5jPyiOZ4mLM6YI+1YG9Ns//ooL+2qPBFKOody
F2XQszcqW9OfUmOOk0QZ761uDi5pxfQXep/Pb+w3L3084FI2wlZKRAhMnw9VtLargSFZYl9Y0/sc
6stj4vXlcW6FtlN89guBReMzvn7rH7xKSq5YnZHqIbjePu4PmRzO5Y4OKa4uZc3px7SqrUgptPqv
v8qXPhg1DepRZEIeyefzUdYic9OxsNjoOiAIKpiUFU5mFfyTfdv3UP8C7uSzBdvv+PFpOIRLF+9J
vAazsQumYDm4S93Erz/NS/siTUsCSRQ8vLSzd9YIZiTu7zl27GS6HrCDyN2EmRZcRNC6cbsoLU50
+DevD/ti8g+KDOgo5y+t/7NZUpe96HWD2HIabH0KnbLxbpN+6R7ZHN1jAgTjokMCelirbLyZAlne
Fmvz+5VK/zXCejHmDAhRqKtQyaHA8vwVY4KHCjSzKoopMfeFEYyH0dXrp6xL0sOylsAszNX6Qp7Q
RXMBGD8UWe/ciiL7mz4BuvjbjP3PLznb8bLShXomVwJ6tx7eGaU091nQNm+0yl+YumjGORuoGVDa
Pw8FnLrHpehUhNfrmMsQKNAKwKOojTe+7gvjELMSPVPPJyo4b/zWyjBr1fVG7MhOXc1ZNR5aujtv
RIovTF2avCaNMU5XWmNnR1GpwxNyLGnEtq+1bJru8ivew/LQos+hCSgcGZroHQ6vz9yAOXF2pjNd
cQB5kOudn7BimSmbUsjCiKdGmndD7sk9JvwZ9gP0mCFZ2kvsMU2kJ3KJ1ryu9Tee+oWdHJkMzl9E
7Ztk6OypW9nKXAphxAGwh1tFIrTzyna59ybt++tP+uJIFMUIGekAMWGerw4/MFZR+CuSoA6aSQOy
arfmjXavW/1bZ8YLEwalDB6jrZnro1p8PlS6EUCS1DfiBXlZOHvuFJmVTN7Y6144mXwyt5PtZxN+
ni0yv3VAe+DTgV3koWQK3E5+Epk/1HFSanlOVb6X7yF4dPZelGVevnEwvhQiPxt/m1o/7Ohu3km3
D1IzTtqm/a6rYbgZbbPfrWmQjFGl7PJgDZPa2ZoHr2f1Z+MQJK790Uy1d37S76rUbyJhi+7X1z/0
i28/0DfNHcEvidDz3zWV45pVFGljWeESXGaQHt7imm88/u8ymOdLh7gbJQp5CC1zUqHn4+jeMAVa
JwakGKs3Hb1lbT6vlhnaxvrFWsooL/w2Pzgnf2M5N/KhOrkeO0MGqICHpHwvNBoqwMsSSzu2q9E7
D7BLNHHDblRez8MqJjLG0YblA3REv2xwBffh4s++eyGszY2ZnpyZrsCsva82w2aCb7cNVZtUDqbU
xXmXJ3Jejus6YHhe+s4UV+rk/eQ34AOdTp5Q/LpLflAJiirelMDWAgwMAYl+8pMakGXQuGwu07n1
u2BnTAXuU+PkRA02U+ri1OvjVK0ZVbVyZfwZU3EW+qM9CehOm6c1P/lbUywWYHeg7yT8WzYPrDl5
1Mv0kzd2GRJlxs1mmW1P7tnSsdJy351ctRJQjLdrR8Q2YWd2OG8LY8klHZnNkQsEEnfuOGXeITt5
dgHPbP7dk5c3r2hXveusrhCwXSYhotGu3ftkxt4S23M/aWF1cgdXVMLzqOpSJ3+0RDo7j7nfrXem
A92G2vgMqIa8C56aHFIqRoSFHsbB1Ew/mRQbMANZQD+qRqs/O04HHMSEUVGfaBXTiVxRbBCLktJF
jr59Y1toI/FSGGzIi9pOHCPMTiQM2uBQMZwTIaMwB+HBaOu6D8C37D42QIBAROppKB+Kwc2zSCWJ
d5W5XhuAzFjN+dCls/7JFAoeSA8h6D18DQnDUbLXX1D4yazIw7xsRu4si+aqwVJk7gE+tCD5rKF5
F1gJ+rpcFquM4QsCuzKS0WuOo6/Xw43pldrHpB7Hz+2SQ/fxNjbdO38o3V+ghokn1y+nm9Yo63e+
WhXtZ30yQzId3d3nYzY96DbUqDCz2wm0h4/DA42N0UeGqPo+YLWqGSqPL/z3et8F2nFKAzF/GXy/
d8IMzOgaTn2Ph3vqC5XFxahb3+fS1mSo6RaWR63VvlcpJRdYv/hV9lNTMmP1slg+sFkWwW4tV/XJ
UWWhhaWgWBJREJRfs6z2L6w0Vb9VXZveTsY8ZjeJ8OxPcByzHskNIONwklLqsW9bScuMUSh1VdBb
Da7yDRunvKVrw8JZ0k/lCJUWpcSUVLezuWp57A90gCKQRe03fLAVBvuiLOsw8erxa5/KqT42va/y
nZcJ55PUimk8cNUM6DbaSNZNLufAodE5y71ET6PteshdXSjthUU5lkoNOzsPan3ntV4hIlNbg5tc
FJofagk/JMWaJMKCj1aEWrAY31pSnfdlYI2/iFbXtMicAEGGjp/bn1LU/AIfd71OTIEszeMZDUq7
Qytl+BeBlvd6DOGLgK4MNNeKum5Nb03WMsQ5gSQlGhOsBpGfzKUWGllRXgR2atthWpcW7ah2qKlZ
u2YvMcFiagZblRXd3aCZNJBnmQ523OgwDuLJd8bs2jW1CbTN2gYuJn3ZDvz+EaxE01myjUldys/m
pHdBOIyqyg5L0LI6TV36wGK7McmP7eQObdiY6VDEFOVxkaQlpLOYulZ5N88+CB05Nea+KdZW0eR2
JyNcZZ5OEFe6pgQVYHgLGw4VihCVvnZnOFU+HWa3XYBbNIm7XqqxK40sVs0UoPkdnM5TOYgfLTG6
X5DJlbN2p+P2dtew161UKx6rOffdlOdPTFpr/1c2+Ox8VFLx2KXle2pfwb3DVvTgAIugnNYE3c5N
3eIya4osFMaUsrFoTdRCq3xcpJHxx0HXPnpJWTOjikor34gRfxKE+ifaCFJQ3OzQlc5rfgJx4wjL
yI4zV9zzuhTipmQJ81YHkDUmBKZl28RWkn/jVAILmGleVCHIDQObzaYeusfTCf8/r+6/iGX+Ur//
5NT96/Ld/yDY+ft/Adi38gRhINVfpPCbTvR3a67mc9kR1RiK/8HW5eeKvb+8uSDY9Q1SwH8tuuWE
S395c7mOD1MKOfTmwqZ/Se3oT7z87e9R0GsIdrIyoqEfoiXkzBgQ6IagVqeY4pz3XEGhJa3K08tq
0hqRP7R6Z9vXoz47+WiE84LlO439OjEQc+oWSsjsQIeOag7qfocjPayDSeut92aw6F/UAsijH4AT
MrcAeXDYqs+VwBLk7dhuFr2hVsg/a58yORj6necBcKHcNSzpZH51cA6N5RfJcQAze9bMeZpZ9I60
H0HCTh4ytHSY762uhFA4qYE+0bxOzrjzYUjOYe2XzbtemrASMqMYEaFX+nq/IH7GhRtI8d7N+zpF
l5srM6zAlgPDrUb5TVh+0RyqLNPlhZ1JJB2Gm+ouwYjJebB2maPFxrxq6ZHob+MUB8bYXy+lphVa
ZNul02Rf7B6pEEY/2a7u0TMHN/toV2ajd7ti5CC+1wjqYJLktiWum0FND0VQB93R1vo8uG3SKUBC
05ezCvnqrr6f+sEtj8qv9ShPxz5HOz3zW8AAgQszy3plp+1VAfW2QmgQ2nKpj3MNwSTEJLUSyVVt
YxyMxfZFXHtWOR5sq3PdSJt7zYXrgzlxGPc9MJzWCLuGS8+HnaL1L9bLRkvHpAYfU9v6ZeGk84VP
na0IW9Nof6GVIUHiKq9Tu4by+aAHm9F4lQ3wiBOjD7af0XaXwjwh/ewT32+hYiZu1Yn7lwgNupH3
OxDQOdEB2cIgBeonamBft+aE+ikAKWj/zhe0TrBBrF9eHZYnCKEykfuHk+b79VEZVqNonW/4wtyd
vXUXUMnhaD1xDrGWNBNqXbd73wCz1g76iYo48u+Zj1OPCffOUKCOdkVRGGOciLFpoPmy7UZToxwj
CsylfHTdxb0TOEW+1DlcnkjiGXt0V302o2yDNq5aAZlGEShdcay31wDX4Tt6J9Zj0NlwHwendvFZ
UQcGfV/k5cf+RInUN2CkJ92sPCyErH7YJsLWr5LMzLuI0vRcIYToCvfo+gvJkjzRKbsNVOmemJVT
Rq010tosKC8BMcjP8++EyxPtEs8T5EvgqVAwnRMRU9/gmPnqCJBPJ2amkOAzjdqBpAkuesgAhepB
t58z6DRRb9TuV+PE4GxOPM7A3XDPQrPgdPonZqeTORvpUaSQk/0T17PKhO0Qj3nwPtcN/dkx5udx
Vtr3/EQGtU6UUIoeEEPliR4q+n5qaV77UKAbUFgfgoqMNc79tLKuqnmWXwpOVCMMmrWfIv3EK7Xq
IXhC8+81oJ2RXu21lh0zrDbkqaOXSbVDYFd8JCSAiZqXXZlGrNb1XblBUzO/MUURlnjCmVIt71dM
O12u9niJyLrRd3lpG9hVltV2m71rwoo5rEMAvVYP6t5/kv6ogkuUSoqwrdLhfReklos97RBkd+7D
MFaZfgMDqivu/MVx+jEEW1WqOAjGXlW71ufmh6dpnMY5iUTSQx8OU0tI+W1u2CVYWGuzRrKrS0dQ
PNCC1bnxZZpj+HeKlq6SGISZf4KN65fHQDMbOyT669r7WYN7vJM4xdN3tMSq/KvMM99a4CLVfXOf
S8srYhoPGJ+Q5Y2NEhesT3Zv9gtky+CLArMCpNkZyzJdKgYpqthruc1BRl7H/r3DmKt5iGXcpP6Y
ZKNrH/yerPl9apS9ikeTrAYmIVTX5bOaHCI5PymIJY0+yOEeaolv1xezafTeJy81e/O4bb0q2Q2+
lmbwrUfPF9+UxtLaaLEL6sFFYe0JNWnOFrSjsi53qW/nXpTVWZvHWD/JwfWpqeqLviz9pz5LzS/j
ZGra/Tg668x2Oth3duIO0y0ZjPEkifnBZ011nu4Gir/GzoIsKz8bChHCfpmSAWCiORVrKDHUw+AZ
nKl479faMh0G1xrsh8AfWn9nV65Llk4efe+ag/FQ6AZZe+YvnR8BG4ZXzAheFnl+M7chUAOBqbD3
kqsimYkTi0xTIraNWnGc1KgKQ710aoouSJ4gnNtNflfbplQHq12nx7FyuJAkmO0mvcizAi/5OpFQ
hYPfpMnOHOQMwxy4k5dHlB08FRtO0lgXRJyBzURqdchkfVIbX5K2KGEUjpqjHahNeU1UpEXTHoBI
6xRo+zwBfjWUyRpitFnJ6GqVVHs0QYGJJZIaXShlVXyQRZo5FPLTdq/bcHs3hZBOmlG2QhxLaTfN
hZdXxgOuIcOOjUaz3Gujswd0bGPtWwcL0NB35Q8NeKykNb4yj9MOwGRqirhUQoobJMbTGqaeSrLL
YGrqa3LZ5VHb8Dz7gveYv19Iep0dmOqt8qKn0ujQoNq8a11Pi+ASKL2/F01TlQczzdqFHbCQdTQL
rFX2fZmbTs58wytzU7q9rUeusiWfRR/H+8zNENROjW18H/ysQMND1oeR33a7ZVcO9WyHGVWFW2jP
fhbWKnDyPaCu8WFRnbBiu0zLe5rf7lfZGC3cUMeVc9Rny5xzAUvJN8JDbCQ7QUhvbtGNK3c5MeAH
iMo5Ca2plNghQJl/Wc2k9Pemllh3xlwP1uVQwyjaGURV7m40O6/DiuzN7U2gVg5yHF6jYV82QTOn
T0XQACzf9T4VC9iAmaumxzmb2uywOch+XSvNgb+H4OKhN0g839G6J8XpR6xsv1bUYr7DxOeTjpLL
BKKiyDUZU9OAMTfYDVcG6AQyQYTrwDmmbe/Uhw7quov/Co53JIUyijtUDrkGjzBNvb0/VkR+K82H
6sYQloI4XkyzF7pd2eydXoP7lVDrgMHEO+CiCQhbkC2WFEV+VdRFmKsJuEXlu+LJAO9XxSVWkfYo
2krzLnrg0F9qc136G7CcXv3BVEvfkj5qXXswrKr9HhTd2uxsOoGgrKZh0al6+Wmxr5VZelvzdaLF
DEhjiZagK7JLaPRL8JSSWKmwtxajul0zC8MdVbLW+VxaeVfcYqfOhnsnI3omQ59UO+aLBvalJhSQ
kAXbupqHg1vxGFjfAs0aUoNVSJGHIlYE5dXqrrjgJfuOkh6NgMCbLw/mQmLO2dzC2taaqn9ftzq1
raYQRRVqmQeG1vC5XiHsg4q/gqRw7S+l1YK08OssLY5t59rXnLASXXgHnQ/8tSs/rUWe38FkTiDD
CWswwkQkvn5hMbNcMvZlqaOR5soXP/f9NpqdykyiXN+ux5kDoueoG2r/qU6k1YcwR23QjKLSsnil
Z4ck0XGma28c25uh7GwB1toYn4halnmfSgmXZl3s5qsHdPnBa9YcBevQiLu8mEyEcm5SomsyFK7K
NqvWL+yImBjHQHKJyuZq3SejxkmsLN7rHpCW9zmdYMGyMdlcjxF0k0Zib+nZd2u2x/pQj6pTYUUN
6+M8W3kfzWmF/EMWKjf3vmjT7zIgUtgPjcWptPGE/SOS71rEIMz1X+BeTDUIO0qAUSvK5b7ivoaS
zXqwvnmF6ZEACYCSkefWbRoVleCiGd1LOd9Fi3oSPrm7HoUCe4lx3x6LQ67TjeIMydvPS2Ui8dTN
yu1CrS3LIhpkYz/1VAR/y5KkGEOqY0O7y4qMMNXWxmEIi8od3TAg0fjDFvW/PP1fBjn0f0/UwyfZ
snD/vEjxRLTm//AHREv/N8I0FHD0hwJui96ID39AtPR/w9biGhzwajDcEMr+lahvgOuNu0Vexl1i
zxJ1rvyGBLsx5kwc07jqjL+TqP8soEPrgGwc2+9G60Ko+7yr4XChSuYVSxO7EO0RBWtNzF1i1kOG
svJqbbQitjJ2yTyb7UMCv/WrKVvwkUsyhpY12Rc/vLc/6gg/UgpPIocfygZc1oOcj1+Bm57/obhx
9nNqAkcEiw3o7HUYojQbgkvgnP28K3AIhQLi45NmQ4UNu35U0VpzOUdTp3VU6kl2jWBIfnUWy771
m/oXNw3wy9mTdZ8sdESivJ7sj4ZadAD/tvbFarkkJKSlZniwB+2CizyC2vtoAoqPOm/UDovXp3q0
pBqV9owyLIRakQRxipf6fuHSsx133kxR5wISxemFgA26fXXtaL20IwKm8bfCp2Udco8XiG/TnZbv
XCErnLDMFf6fMVjcr0tLEVzh8X6rz3rqBp6/yM11hJWKAcjun79Iv0fpocm6hZSKxFaZO5MbAJbt
ArepL+kVJdej+mbUxmEsxp3VfS2Vf/DkhwY8cKkLrkO4T9q95+3TegmDbL5oiiEcBies+cfAeaOE
q1p8owsb2z/alfaGDfqsenSaBiwAqkfIOzdy0/NfvzZ5X4mM6KPJxzQWfWeDE+UuhNdn208dVSab
y2V9lNE8il7nihuD6ESqtmjpgpX2TnP4pGVyN6BS99RXenwwV5u0equRuGlDnn0ZpsLmUkG7j6gS
Me7zZxNW22W1C6DDokCxq22lX03EFggaUn1+cszM+o1VknEQcSDe2Qp7WdhSRfq1rpS6ctKluipw
2tyiPFF6SHtPu9Ixo3zK8PE/yqWw8OlN8F/dxTG5OEO8BRgxt0bn+QOwmwWUG7BvOucSIjaSFXdW
3saygEvQWuBEqOrJaF2J4XDFVPt2sFwCjsTbu/pQ7NPFYs3pNVViAo0LLtngFhpNFrvZBS7Xm3V3
XC26JiR3/mEp2kvH7e5gqIyRaipK7aCxrw28IjcTteqDW+sf+nUpb/JMlPHgEKm/Pi3Yqp8/33bF
Fns17V7US2yMzz+QM5JZ6MMEaXm026PZthdNCiaG4tN3mjTwlshhXh9xkyk9e6OMiITXp+mMl9M/
V7YQCMNfUIxYty3eoUyFqMhNAOmXleqs3euD/awbYjR4EyhJsS/B3Djb8qs819vOpoIPuzUqeqff
13rqRaWdanGmLH/fcKNUWN3qFIjQ86XzG8qM0yZ+9rgcXbhxTC4JpUh9tjeR+bXLYIsmFqh7D8Q4
9mUxqOSi8NYkSjonieViNruhbD0u0WyCqLKIiRpCqqjviVnrfO2u9BHBYeX1+8DqHxAEcU9JJoPo
1LEypV3GLjWc0FKqDUtfTvzbXBBtXdNFAlD6g5rvbB+gdQ/j6VZBPw4lt3nuJljGIHo0/2GUQ3mg
ibY16ShSrwF7qINrieC996tH5qQe0a2P2tk2Qq4Wy7jpoKg+pjhjL42K3Dj1+HRzvs6/y6D+F2X9
66Sj++9h1kX71DyLsTbZ3e9Blk3TAzWvEWD7h7vG1vRnkGX5/2ZTwOO0NUJAMiET+s99tGzD9Er+
/EPW+Z+g0uDf2JxhIiDDBP+CJvnvxFioYZ+vb/ZI7pqAvsyFjhipuUvk+Y7i9QP49VEv40Zq6Uo5
pXOPgsvjrGgt+wtyveKYAGAMYuE1lJ7quZ3k0VlFJh+9gIJeqM/0K+48o1H5A+oUvNhcL9LWB3AB
Fvd9dVXthHrX9fV71etBtvfKRYiDPnWgvoMmle6lpLvhXbornVQ3JK+3mq9Do2z65FVdc3+TloE+
5/Y+zf6IfrnrqGT6guild5XhH7i/y/iizypBL4GzfqXIr+kud/hMRXI9iIEqZRuYbGCkLMQ29VDo
5Np5l936VEKJstKm5ECDelkAK26H5VEq/lKYzOtKqS1QFX9nKXqxC+D6fyfaspqda7lDdRj1pXft
aBzRQVw7AwSvO2oFs/1oJjYUmqVpeq6Gcqu00vTYwxg3XToC+Vqoatezo4xrBqiUD8sIBXLwhHcI
lsV4SC0AnOEoT3Bo8J/vtbUsm10y5AObxrxIquapXG46CkQF1x9w+VReZk9+PY83RpaNIJG5ogPM
Vc/5F/meVn1Dgaq9Kzo74w7FtXbJZ60R4Gji6GYaN2XFbYK+6411xIWehtx3zbbfiDrNaOMaa2XX
ByFxNe8mHvTR5gaoNTRxsl2PhTI7KnR53u9qXxvE90J5g/nQ1zr3Vlm9X/vRMlAB3DW+8rjChL4y
ffnGKymiJ8F4TfPMzimI2BSsZsENbSHSfqRSeaAY2i6FJXdF1+oNhayuzi4o3IvHVszaGtUAPdQO
8RFHXp2MyFQ0rUs+SK/Xh6jxfJcuWVD435IcivTOyuoyi7vK6uVVs5jlB5kRhkZeYyW/zfQaPqol
aftdM2j9esyCYEuI1cwlSzYHIHgXR5mSP/W/CH27CIqqtDpQrHLby0DzZu/gCpcphuIcecAyznm2
L3OfAZTVTvsUecsal94sYJjOWqPToK6RpA7GWjDFGlzve4Bd/ge6/t61NdeIkal3qCWyRG3LcFiy
agjpaHT0t5Usbgq5ZC5XDTfNl6GlrhgbJel26Ng5x0HmqKY/zF7vr5umjeJBhwjXu15QIgLlTvxW
XdRqrJ9M3XOyyDLE/7N3HktyI1kW/ZfZow1abIHQERmpRXEDSyaZgENrB/D1c8DqHmMG2Uyr/Wx6
0UVLDygX7917bvfuCjAXK+L3xgrHZhs+291E7cUdjeqRih1iBQI1NSXIhk6ek6TxyHOkrcNRZzLD
K5oHroWROEzjQIk7S6czmUzkdKAVI1FLn9CnpESZvbJtpMQcGqN0/HIoxfK52+29qmRNspYhJ5VV
1vGSbSisA35NDGaPK9nLloZCGaIAycltqwP2ceajlzh6S90wbIijxMlFdbg1cmPTtIqbrno5jW8h
+ouIFAJLskSPZndDtmf3NaUB9q0ya2fCfjnIq5pXgYQjmaKEgFumlb41zPpzmiB68aNUn0gUpJrz
FwEXjkU3SNi81LFt32RqTKCgtEOHyurshcyFVtWiVyLXu6dgT+FpX3BlVWA3iZb6Vh7XYpMpUjU3
yHxw5Xgm1VR/jLv5LJDwJYFYtgI+8chq5xvIjYqVpcdK5E+m3eS7vIyoxdLIdd9M2Fd5UGtUSAMR
DlkSeHUEFLes2pwbH3lI0QY9Tc+ZSSBpkBk6tSWhiHwTxbb+tbbycvYB0hkvTsk53nfJiDhO0mrI
zijq9s4MSVEg8KKnvWElbLpWRs5UGFQw7UmoBvVyl+nCJgLQ7e5atQUkHBlCNlt0ax2XqjtU1mEU
zLseiyhqKjUDyEk9wSV+bl5CKzIzD18sPSpDv+CuQUdMDaItTaNsI7Z+Ju+cIVNlr7uzEdAhGtZ6
El+jTV4JVB+2FlK+pkD2WE3C2DtZRa1ZT86GcIYTjytaT516m1qRvI6dZBWlFFWrLErvRts8Zkld
36RucZeZrbiGeUhisnIsm/g+7HgJyG84dhNRk7KmJN8qZmC7w40xWetCrXF3WMh+ZFSpecD8X+7I
fqkq2KYIl6u6vg2t8mA26p6sHZSwbS4iH6sNa1zKDwjvnMJNHvEBPlUUDNYqP8JWySpt+v5bpI5b
jsNPqmXtSRJ1/BZRgIxC+1rDlJx61lc5yweHhnbQDBNPJNSr3WDPfLJaejXXSbhJKaWJOfla2ulj
6+R9oPTdgewX8ztBJJuJyeSqc1wFw2eL9Ai/bvKCcH307XiYgm5oo70tYQTyFzRCMInHndw4CsJE
NTKs2LzvPvzbehc3xjmVuuY3HKZy1Tyy7DHLlfpqoIl2rdOroHiZ21RvJ2x/5kBfL9RH99YrbB0J
aEqknhYrVF7VV8eZ02ByyiUQrKw3kciOoSwPlFDywBiEb7bTdSby26xLT8owdQjuGiv91jfWFdGJ
yXGO2C87BSuKXY/pij90g6/0nPSif8iH0saMPik7etKPshHFFY99CQcp7VOYIjyMmYu2bhFFlJ9d
zm2qeRsXntgOFmfUrZc2W71QnJ1ipo91Tghf6LDyiiwWqzTpj7oZPkDD8Ha1mV6FXmjet8NQu/R5
tVut192AluDtCJrGz11ZfEFGxdh57d6ECsvJbKtTUHQs1YTxnDvXa7Ig9YTRrqyi6O4HWRXvlsOZ
GiOptuUYO22mXrWvOhKjrjknfdOTyNjXKLPKibRWn5TcPOPTa70gHuvvODCuWyD0ybrAgbdTp6i8
tytJc2Gk95W3tLYnrxc38I0GsjxhCp7LOnZWVUzwSeV1yONcIW9SkmNWRhw/NGP8rFYdwjO2qgH1
xGYtRPUc9sMAzTR6y7Lui2rUbGls2zLvlUgtHxBSGJuwTikna+FjoubzYwYakZ6Vyf5l1v1sIVRI
UwwUguTWGLw6qOMs3UWV8SVjKwFC0fzWK2kAaB/xnGqvUWEq906SseoNmQ2MhUg7LQlPla6m+xEM
VRWTqxSK8pTW0jpnc4FawhivWq3ha44tL9k6qWEQKe3tlZTiNATX27IooAAoFWgJkG6+1LMNzuHs
prcj/ZtlZHehnF/gVLyLXhluFUVODzTUki9RV2thv4+tBP2AsBCwcvFE2W7rkkDdfVKqVk/lpgZ8
WvM5F+HXUEUcckPxYkivdK0f3ChwsYpZ73VUzshhyBkGoi3DGkly3puIbZuOY+pBzxs5GIEZY2p9
D2tFzxw/DRvZrZ2lNVKtxlJNiuJcNy5u1A3iocFheU2VtnwbwLhVYl12E2lEOMAjo0jP1qz0RoiM
WOT5gYjInrxlenEabFrXlXl6S4xrV98bYiRB16JH59Duz9lHGQd7mjHSbeM8JhzvoQHdo1c3rp1j
BD1FpVCL4oYSaua2NwMutTR5DesmqvNVS6P+XfViR9CzAPIj1i3pn19MArb9JW1wDvSRnNoVcm17
3PZGZd8lHvLmHA1rtrErV7KQ2wMW9zPJT4rxmBRu9YKjA71pQbCp+lyJ2FSKv6sS/3+q/Z8fzuz/
fqq9Jaaz+XCsXZzc/+4d6P9CzULHiFQGFzaoyX/5v97BkgS/KP9UTJH8i/8719I7WGi0oDwB4eFW
WKSB/znXmv/CveCQ9/fv47D7T861vxRp8XwxMgY4ND+Mo1+cak1SjUCdtHjvK/NKc3J6nKp+++dq
1S+DUCMFoc4ZHQ7SAlf7OEhP/KPiWlBYZaZYB6uBwFTXU7j/8ygXB3TcHPx59kXcTIaw3KUk+JO3
JUHEVWqqTi5DHarH0RYPMRuQjRgUcsxot+3+PNzy5y4KYBQXEAL9IN+CAv84XDhGCuXHsVmFXfra
O/ClosarVrM7wRGMLRkk2iT+KW9yuUSXZg8CTwsywEVJveyWSdFQGTMbslNSR96+S5tprXfGsJqH
gVawZeyoh0z7xGr/MYyD0Zf+Ev0qExiMdVH0Hia2OnnG6F4NkltKDsNDpbZB7HbRJxdKRefi5moW
7wu8Hwo+y9vz8eaKKOyzoWXliuqJ+FCVRDM01U1gddO0+vNz1H6TD0sVn6oOryAnOWzQHwfLSflr
W0HUa0ZJAg1j2ecHoTvRPUd8u1gTy9Z8cenvtmSqGpoIJlf2+8zq8y9ZHRrsgGKZ+HRnrSui3MMn
3XaXaHJYwO9M7YY/FoXzQm5FuTKrUd2E7HYSHYK6aGhPo68iE5EeWEsg9pxFz+YQDl+we4uHkOK2
QVV+7rUgDDtE/DqViTBoQwxiaxQtslw61zObWpSBsWuJMLDnsDvB2kcEiVnOxAKTKPMTnUPtLZyb
3lwPnsha/l+d/CwkHN77WApPCWx6/cmqrtuoQ85jh0cnoaNWDZ575aHKfQ37xnvCihS+O2U00KHO
quKb7Kta28uktYhhxNvxKPCfZHSUiuVs0M+PYrbch8mazMe4KdkYF6E9wh10dOpFEQlbfyWuNr2x
CaYVnlsy0Uidy5OzsKXCWpY4HAXpqWTFOiI+sF9ZKCPpvIXWyJlvxAFYwFrtVlZHRcZHs9uSyj6o
4rVF4Ubwrh2jLLGkrRx7j3zDVVF101tlF9F3lQ7p1ZAmdb9Vmzp+AX0sHlQpWgfDgEVMdWdIsufo
qX5jY2fE/HFPvQIEVp/1ZJrXnaNGuR+JJYx+juNrGoDqIa90s/dNBTWh3zQuGZwQOZCbSntedGpG
JzcDdqkMoLpmoS9uplVvYSJjt2yfNaNtR6wpiffNyzFXCLRK1VbV44TDISLHKyWeOcZFbNL6IK7m
5CnsK5sNa9WFHunlBXjUNinEKwhuio85aKxjanQcZbVpaGiAFtV4jb3CadcogfK1KiJ93sW2WRIf
UzsrpZz6dNfJcf425Qkb/3Gauzbo0VbFPsWW8Z2tUbmEI03oNpvhWVGbmeSDYqaGwZzcUndCFPri
WrU++UNTDpzrnUF/XhLH8etoWb4RZWfvh6pxqZGJ4WvvdsYdArR2Jcp5eAc9z+lTIgajwFqot0jn
2uITtIK+zFAf52ya8UzYZAUvAvnLGm7Vz9S1SDpeTcgoEzwoIDG30nssIt33+nENS9dvLW5Hb/t9
cV/Vb9I4thn1A+9seacxv5ZJvZoMaM4PxKZmurIZ22z7Y0L6/13U/ywuhv++iVpH5GX+vIla/vnf
eyjD/hc9JnZPNCvhAuuL5+HvPZRu/ougMhAdqMrgtv1YKf7TG9D+tSwe7GzgCqDQWNar/+yhtH95
2L9IdvmB/VvsFf/AKLGsDz+9VeRx2D/o4ia9CYOe0cVOgODTEoABPG+J44hKIOWn7FDVsZ/UlGaz
dlOLh59uzM3ff/uDxOJ3I3rYr6GTGDRFlvb0T1udKo9d7AQAAlPHPRpqiRH0M/bTD8vtL1dFFrqF
/RqCzI8O8k9j2PrcDYSXR0G1SvYoL8hDtd/Dg9gJ/3r0v3Olfm+/Nf6hCrxPdnKXaIbljuJ+cXhm
aC5V/C8fr2/KNNCnpF0GYfMWt9dZaNDZq44V1ZAoUlbA8HK9DPLpk6bmr+OiyVn26KD/HBoLl/OD
oMUQpyRZLcWGVRqWW6XRzmXkHm1jbRnRGhH9rZ5ZW9f+hAOxvCIfbjbCBRvlCNYSxPds/D9ecOcq
ZTRNOp0ZkzLfODSsHk6FQ2R4KJHorCgKfMaJ/uWtZUhkbCBa+aiAJFy8Q4LTYR71DNlW09d2HIeD
k7is/r1yM6jOY4P/6K7NP6XT/WZY6H1ontjBso+9pG6oI02NUiRxUNIa03yp6V8B1rXrcEz3MgXq
4x1M6Shv//CDWUB4HKTANOBq+uXB1viR63SKkiADqmawrnXZ85S5+bj58zgXZ5CFFsQLBJYBUCWR
hpcUATvK7AYPIhnUNN9IYtuMeooRoDhKvId/Hupii8xQEDToRgKAWQQol6+MHQ2ciEjFCQqnA+l1
HnUmm89EDRcnt38P4nGicsH8MQ18fC+rOctKTSEhWTRiI1CpB60ch7/LBv8VgvLbK+FkSH4fIA3o
WB8HycnsbvrBIIY5LsONMoyVP87Vq4Fe5pO9/u9Gwsm2pLwsyLVFEfjzvBklXqLzjfMaxGrAvI2P
n1QqV/nkgn531zjts1SBzGQFupi+nDKB2V+B2Yr0+MGxmvs6qz4Z4pLk8OPJYCvl21V5NOisPl4K
p/a+ImYiCYZWa4I0NPSbLKzLHXuv+5lg4KiQlCMnCmcrQ/Fw1XpTE+hFr95RW6UGN6IZWY/hVH7y
w35z7Xxk3N7FL4gZ8eJ3jaJqZ2CdaZCiaI/8Lg8xbZFef/eP3/4FekruLDpKpDwXsxeVNCNqIzcJ
ZgtvbcTul203QTOffGS/roIcCtknEB6CLAE90cU4nVppXSs6pOej/Nqgqd9E2HxVLyOFcgGf6Gr5
3aNITuEPNXJc2qAU9LpvD8JS01Md1WJnJqO1r80q6J3eeO96AwdLBrZhVnv125/vynJzPy4jHGFh
KGL7NWBQXcrSbAcGNNUk7sp0n43fnPCcBfrt9Bnl6tJcvLx8kNGWEzqgRc7oF8uV5s0DNj0jDazB
xnswLKb9fDy7ZDYpQdG0A03hFjmtP2HUtDmsNbs+1fs1oIxoS/W9tNe0uT6Ze39dWdgaorZdNn2U
Yy5XlpxUSHXqEaWXcNNczN43oze8pt2ut/ZdLpVdUdOY/fMN/82EgvBwCRZCbrYovz5+hbaSI9Kg
ZRnUprMupZuRcF4cwrL7pB5y+VUBDWSNZopc6miQ5i9mlERTKIHnPNgKsPi1FxshjVu9/WSUy9Xr
cpTlV/y05ZtpHRt5EfPtlrW+io3IQco+20d9QMmR5U3/yRO7vHuX4y3//afxYoyd0TBwVVZDa/w4
10/aP50nfgxh8DE4S44jJsqPQ5A903M6ZwgvO9k4Cgh2oNv6WfjMpRyPvgJFtcVwrcEpIqv4Ypqg
f9ynSaHyQdBIPbWGYi+ys/GvwYmHs0oL6rVtW3WDfc+HlnHTasxac9nP7Sfz1eUE8ON3aPj9l+8A
xdTF5Y7ZpBWgklLkRPF2KKzGdzFV+DGGqE5Xh3XilZ+8Mz8m9J/nnL+H/JG840Ewu5zwXUsa+Cop
dJhOP27p04e3eU/1I7Sp+MxiSO4RRVlEY4Wc7ClTEoCkb8Y0vkm1iG5wcqaNvjOcW02z6wdKt5+A
wH7zjiH/gufNvLeAfS/eMWumey5Myc8LZfumuEa6KZdKIo6f8bOc6c/GWr6vn97n2iUeAukvXdqa
KqFqfLMnb4PR5JNLWh7iL3f8p0u6WGJVHFuxnNm5y8hzT1FRYU4NqTOZ15Mn7hZIvN+V/avTEMH2
5+nuN9MQUu7l5Mxejb37xcizSDtLMTBiWbbSgxay0yNUx88mu1+/JpYVnfYGh6HlMp2L+8jiqHaR
0NnW5DF10jzfoYRTfAusDW7pTZNEj6WMdl5YHIY+3sIE+GRi+uUgyNadbxr8JtFli+vjYiaMlLwZ
Z9fE8hRF35zOPGdGdq+WqvD7PL7Wmu5BJU68FYgxms/6GL+8RRdjX7yxXTl4atoOTdAYbxIDsa4I
f3TdT2aKS9MICdEfL/HiJmuEodWSMkJQy2ntOP3OUcRrR4nFt/XqYGM1TIdpsQyQTUZu2VAURO60
n2V6/zJhLb8CuDRkWoiu1uUBI3VqkqRbHnWXJjd1PBxw0q0VLbk3snAdopz+5LJ/N94yD9C4YeKC
8P/xE3WdcEqNEVxWDMuZKWM7Ih2yeadsazPSP/nz9/Lbm0xTjatbHEAYfj4OFyvD0LYRzxLSzC6u
xCG2htvWE4fCrG+1xLuq7GZRDjqnSiCiqiaXZJbmszn6cme0PGrHVFX+F5o3xf6PvwK7MdKwTiMI
Ki7M/oE6PnPUrLTOtZLSJHgqjF5W9xmKonozZkNl3f35NvwybXAQhhDPhEE5h5t6sXspWmSIEKBw
IM3yxF2O/MGO/2EFZTls0xKlLUZBg3LgxTWWichLfVQhS4/ZX5bVBxEhKG7n3dlq+dKFn/XCfntJ
Pw2nf7ylEsf8HEeArBNF9D5QwgNxufd/vm3LF/hhnr+4pIvbNrpL0q42N8vKavm2pH9aOOsB+vAy
JwR/Hkxjqb4cj4MxLjLmW+pQbGguvo3QUlz8kLEC7KlWg7Gd4PFZvaY07/1sTxl4CsVVVq2tpOGa
XNryvuToCbPOpo/hVySlT5htYKLYMCCS6tqliRc/xyges7NItAI6wLQEq/jdZM33+uyM5wzhPrFA
qnM0ZnVOv7RtHcYrbNfltSw5TYCgCksaEElCH0SjH7hLm7q5cZ0pr76Trqdfh+rQpI8LJ1Jj2ujn
kxy9OydJ3HXrKM4jPo38VuqxdE9Cb6W7m+D//aV5oi23rWzL20ZFwK1pLQosex7GJ8hnA1sSurjX
WHPy/Wgb1lqtaXwJFtaXKIuqK73UnHPiWNUCV6h2Zpq+A4+bzX2bjh6BP4OmTfj156hGa2LHQdeY
arqesiiytxM2T0EmE2wGZLG0UafGS1+z1MWR5Wn6oaA2KteDhR6TGlI8vKiVp3d+GxYnIF2RC/Gr
mpvD0AnjJu2STQaW6yitMDzgHBo2WWq2nD8b+1lV0rnZWZOmnlS4f7femBurKZnv7RT3cC3QrMs5
bjGo4Hpt+xjxUVKEe631nCCEfLmWsoi7HaaWUn5trWzKg64v6WH1AO1y1IPXzdDpN12YVgsgBj1p
zxNdaZMy9/dRWOiPVje2kpKUqKzV6JL7tB/cYj5qaaUiptFzbly+7kqlF9he6xHxnxrf4KI6SDPp
ENX3fu2q9RYevvNil1n73qidsaadBTEg0gNwZ6tYneqbnERJnzdz4ciO76hr2OHHKUAvNS7Qh9f5
trKmg67CDJwz0/5W5aD1sOFGfprQroQEba+d2anaQEfwc65zPb3RHEW95Xl110BFVO0KwshXS0VA
rfLQIl9ECCJRXdtA4dhRG17xbgyEX6iJe0OiyMQRtAtQ/ue+LE09KGoVKl07f3UMYf+FM7M4aa2s
YGYsP1Ck1R75XbUXpTNrgR0h5az098owGytIZYzJGSQFKki/Rx+qZOljMgIpsaty7w40SuPevAvj
7x6AiQIb8qS84NO+nkqeMROTRo/LeJiNhizYeaoODormgH+k7IDfyUOzLPjKHLrHin9qhVWvXwuv
nTidlNBj+xhRFjS5TaIN12Ts6lglJ20nc872mTzCg1vPmfqQGfVAvC9GNRCIS9kLpVsNAftL0bJ5
aS30lWNYv6FcSGCYZNUVKVzzga1Tep3xhX2TI36EwLBj8xA2X3A9HinMaTLwULF7L844EY2QX2fd
/JhbL1W44KHlY8nrUdzqbjyWECv7YlNkot/FrUd4npIW6b1UaNj4qlbr9736bs56tlKRFNixt3Kz
+K9Z11+hebKP1dTGd5RWxaWWdg8ppa1jm7TZYxuaYqWR5478isbAoWNqqweBzhxkXa/Y+lsrFHsj
6tbbw/jRnHWEME1NtSvENOsoA/wZIyOMPOu7MwgaidahiKMNXM313LV8QKm5jl17zNdDZnWRD+p5
QGaOX9ztyif67NUKPY2ONrTzNZkgI8TEzkmWLIpZzltCEHem266L2dvHOawn1fti9fqGEJsV0ctB
NovNYBbBkPTPo5PCBhUMB4FRy7pvfY7jhEPKDkjoujOrtT32u6rfJcboA8zzpSp9cHwrFgJ/KEvZ
7YbKNp5rOIuromhfmMcg0IDFOKCXPHDYbThlzu+22wWmwJJQZc4TFo/hDOWSfC1ySn08/mO1WSIl
v2qqlGwC9GuF9wIVsDlfqakBU0ckBuxJkDPeZoj69q1N6jc3sm5nNct2Liw7rFthTpSv2YXrQUm0
Zm0X7r0R8aRby4yvk35WSt+V87zpG6IiUVnPPG8SMf0SYT+CwiwLTCC/X+fZCffDFH6Dk0oYXTTY
T2oRZdgY4yuzCE9drDwVlvkCOzpYZPpkJ7s3tlGMa6eFtDPN9Q2WyfquVhzD97yR6bVQpAiiekRj
70S9p+0tQB/5oZlG8zb3KBBqY0inPvZq058c1oc5C5+JuteD0O2TbJ0XtRwP6GOLrTdE2xBsjx8i
P3w3cdqoBKCIKX4oumK6MdR03CpKrpwiOwvt7dzmzpHY+lhZTe7sArnKzauMwFs+uejkuiXsGPT/
ZJsGXYyKUIKu9GdNe2v78VkdRrs60FAwId/I8M1zphEPyqjO29mybjIYC5zY83SF4+AsjHLasq1d
KSDbOS+s3HQ6IH7zs6Zag+kIdJFj9cEM0FfkOwvwCUAFm9Ci/Ne7ZUAKjPoMZLI0D2pWNOYdaBTj
e6MRq4botl+zh12rjX1lqPEVJZJtG7ZrfLwBYLOwPovhLFpKeoCGAng35T7LzKZFPmzRwk/s+q6Z
mv6QxY3ETIWymu/GTV7cCE/toY1HtFmmVUfojscEs5I3ZnzQfKJQcfRm31h7hMLNkzemyNQc0lB6
tdDrwAXK4B3HCNlGTYXC52VWk6BrVXzWE5Uc6qQ2/BsEFTKaH9yhL7lAcBWPcyMHak4YZJKABL1i
vQSh7MKoB1gntbdINYq3FvVDi6m2emGmeqUIXVE078x25Y3edBtB09zNdl6fsyXNHWUomCskQJNx
VowMi6cWLdSPCIoSAKcpRQecuGXlTxrmbkB55dXoTOqK2MrkUUmbUvr5kIw78ogx8lJIAOShWo3Y
6bWDj6CJvOiczLX7pW4qkJmeNXssKdYYrfTWRQAltYJ0lEF4tRVkVvnsFWMAQualdSp7hR3Lkfid
xlOnK3urqu9HVyu/CMfqtpk515vKVjTQLpaU605Iec7tfLqJC+gZQvWejaSrrypH2Y1FKWPIola+
daoU5m0+RdcalDsROMzUigH9SRvCHG9VOVcbtcgfWyuh21FLYgMnOMZXXS4A1pIl/EIKORsUyN7M
oXm9q7oCrq5uARSZpnMxtm6ysyNjF7sVLGA09TTwh/Kmk26H7n1M3vLJKFZq4UmXktEIuybcOkN5
1KyuvitjEmaIwCPhPDbTXd7H8alw5b6LiR2g1Bit5zn/q0n6PaalBltUepuH7gOsqvbaC53nXMHz
EBXGZsYOQ2VwtGh4U5xERD/kL9giVA8z2pBCL4GWwpwWnuEEOjtzHiD7xPcuprZVPvXsD4d0UP2q
sPM7QxswA2AckEiHFUfxvcy8S2odjqytqAdzKpujq8ftSzaNd1Gm3Rrh+KxMxlY6ePd2WcaUk3Vr
EF34+SqAu6+pnI1hHTaGkfupqiU3hmCx6cJ9AxjtRnRlC0fIUkLPxzPQfJVxUT93uKfuKja+13Vb
wExq5+qhn6vjpAxIsUpZ3QnhDSu967bQWJxVWVbp+0wGbh8240tVOQj0HUGxts7MJ1TjpEOo+qvT
i+95Po8nqF9RtfaEFR4ap78SiS632shFlIWuboDBPhkGQZVN2oODHNHR4/yJ/F5mR2B91jXxCfoW
Exd6rYHteDuJM3a1U9foa2/WWNicVt7XsAtXiRihMymVs0pK8Wo3cWAPlfPeODbFApT/13nvHmyR
4uqzNxxOA5tettmXyrZDQbfOaqM8Sc0odkPpDRuUge3O1tyCddhFR6nADsa4ohoLKmP5HoMytsGR
ef6Q6vWVk4FYmqe0TnxrzLuth+k7kFXGwq3T+h2OBjF5cTA24dYeoaVnWvdO1AEFX3VqcFuXI+Y7
ZGBTFDgcSt7AUoe+tIBImHUsvzSwQFaWiL4CsgPfFOLtKOP2zvPKL0U9xesB6GN+qptG+swhU8cH
EKf7ptf6q7pikxV33XjtNUW0cq1qLImLAHxmL5nNK5GqEQ0y6oW+F8bDutLsTW3SBjIF8ymq2QbB
2BwW77oRK/sGQOV6SGrcb5g7426dGMyquYeyFUp+SSoikIRx7pK1JtqvxUTDswvFcwqz3k8kO6pJ
1ItdIx6qTYbKcYd4M13RyBCwc9LxqTC91AdwcY7G9J20m+Y2sbsCbJD0smshWCZ3HdNojKtMsg/V
OsowK2yKZbTiwyleZ3Jx8DM5RhgdcbxVxWks9Gku2dgbRb6QrLw7L1wkGhwxo8Wu6KKRFGGXpztP
9s0YGE5NvIjvsWZ2V+QxIRcOwtHrVh7cSFSOmpfad81iYt7QcRm0FUBUbw+pKNMPVUUu3Q0a8yLE
NEge3W4wc3fhSXTKKnZsbd1nkzE9i4bMySCyJD8gUbzWp38T+VXn4n/oCg/Bog2l9RmO3yC2qglD
eauBIm58o3eq19rGH+hjUIU/ZFoE3E2oBbO1HKfpkfp+amzravK+Q/4butVgOtVpSIz4xiHG+t6z
o/6vXrdClJrzFI+nKhnkgX+pKV9k5Eb5Nokb9ynOZ8xTBFGNxlcMMd4Nx46SWRk2mHHNhsSRT3Gv
F+sQZaXuh0KZ3CcgT0V4HVeIgf2oGh1xSvrWjs6lManWiumpYkrKK7gbXneqylgj5EfeyaKc90pR
W1xL871ZEoZiq+hav8o5aIGzw753IKij9p7LYuj7I+XorAiUyvC2aWp5W8F+rNuNs+hWFHgKX6+s
KF2zeIc2b6N3nsxOXtGDf5VaciwUrSO/AfeYrylkHPvMbOmbbKLmUWgyPlW4ojlyaQXTYI9LFVK0
OT6KwbBAhlfhg+LdC9EcsIVxEE+YVfDs2mHASrJh4auG+FzGiMnM7yKq75tkY4QHMKP6iaN5dGA1
HXCqcIpVt2BzrZRj8Qizb1znjUFOKH5aywoigZE0U1pthXi4YQlGINvqwj1B1XHrTUHs7OAac7Hi
Rp8zER4NYa0rdToazbPpfJlmL5gbTWxCYyrPEcrl7LZpgJ3vkjzAwjljoLXOXWyVt6ApCV27YcDy
RepatZFD8iVN2O5HM9Bg7WoOnxt3pdhVYI7Hqe0BRSQWFbqkAdKfmF8peCiBHCZT+EVTnKpWnOJa
7a4g3ii2i/GUu2RLSMJaCGoLbC3Qc6Fuh3FWv7d0Dci3s+bQCQxIeQ8ZZwEr5cObaEgNzXEBZd8R
GFU/Sb1+hHdv2M3J6UHJUbfhrxNsmnDeVjrzpBtdlalBWbSrKIf8qWtnu4ZWwnRue8qGAMpY22Rq
Gl4LKLA+uPJ4xYkdnzqbvVj5qtuxbxdIle1uDlQm2WLu/aSoAlIM/U7T1nIoAKxMWRWIQQSqZHfI
HXKMTEMUbuZ7y5vrbC0aO4f6VQmoP2kk6iYo7Ph2UnND2ZhNGXdXuaUcYl3/Aqx2fHOiLF2VugKh
LZKGi8246DjcOIX9CheAoktRUpRpqMcXJzcVXbNRRvKWdL651QDjE7FSNrXnKK1DCjpGiOAnBu4O
PJzJoK8dE93reEz7CHO9U1R/jam6h8Ym2cKZ/SjXZcQbf1YmbfLrHoMkIrNqLR3ze2sa29xpnztM
5eouz7vYoWQV2yuHduVZKwoDuD/wnpTv5IE9aXTXedXGymwzWodxaO11jRLULFXjGpQm4LwM/Jvr
g/gdxgcTn7NP6asOhOaGBEmic1aj7mHEYmZ/BScdnpL0f9k7k+W4kS3b/kpZzSED4HA0ZlWDF4iW
fauGExhFUmgdff/1tUBlZokhXfHJalKDMruDvJkSwUAA7sfP2XttjO/DHEtfsDP7JsJlQRhAw3qX
b0EIBNqhk9p5mjbGtojqk6HoL9BoL50376TTyvKi061NXugkxJCsQRxEO/fg4ToiJUI0XsjEgVtr
Mj1DtT+36zbUeKTmXJ6XVY1mm7Lh0QiGZMTCiTzEyZVJPyFFcUczYdT8qM/Gyz6H+Ty78cw5zCm+
ZVmUJdc5ATi3XsBcyDeaGdyVnmmfcIFGZ6Pm6Fgxc32iymvHgMiPqjaDVW12lQY3AA3+SS8b/Uwg
sXI3QVA0OdVCxFOWhfM67Slwtyndi2IFtzu/i1JvOMwRXMAiEkl+1kRmoflumlUmEnwzHS5BhoXJ
bjYnZzoxyvCO8gm2oQcrv10R4WV909NJDZsm5XzYa2ay7miYHrzcbJ8Cyx7uGjb9ZywkqbbrXU1d
z5mDfU/rA2OdltgQVzhwx2WpUYhmZ7QkUZjtPEhFT+nQ6qeekYT7YO6dFnZVW8AozFDCHID1GZvJ
NRg/bJPGGat8S++6VPKmbJ0oGCmaZo/9blV0mB/bL0MsLE5emjU2JScojIx0qfQuRAVkbKNg5kcw
t001DbqvHTDVjsqSxoDM4+iKGsq6pyd+JZo536dKiNNJb+QlCFnoAp0Av5OmQ3IStll2lyxwCvoS
RtHg/u1di/OZSuTGRHfu2Psx0wkdSoHym1DaHgccBiCWrACyaD8OMktXrADT/veN/uOpAo/fq6LJ
ljqUFcM5GkkRLIVloRhqvwFfFdP+mljDbe8uGN+Z+hxPnZYLMdSzDRtEEKLLowGjOVatZ/WML5gq
tL6TmIv9OvmURvYnDq3DmmEU0KkeaOTvP+DxaOb1uhK9OGNqXcCAeTuaiRCEh1qG2g1jdIbBI0wv
1FSU7+gejgeJy1XwYhk2MibMQ8e3MWxBxEUZtzGybF/khh8qs9rOjrvNld0fWkgx7wwTj+fCr1dc
ZpcOwQBI7I4mXC3Oc1EMzBJzdalNp+DDfRs/zO9v3q+eDgajJP4yd0dceHTzqCyxdMSLVDA+0Hbm
1LXxerFy2NP+/EKg4TzmopYU4qdswcy0FKF2DLfoIYdasINbU1+kXV7dxEFy+OOLkVxuMAPFvoar
7EgWk4wawMKs5WI9p0NKD+rspqiBjryXHfyTdoFvCQ4kkhOMAJDHnKMbqDvJFCIx5+n77F3mwdau
7wMIcWwOeU2/PN668mAb7z3zv/jaWOT4iEidcAUcf8C49sJQDzgXZXin11FT6Z+IKhn8fOF0B0Wi
vXNDf/GOIYjE7IBBfXnPjj5lRJO2ziYeEy8NSY2adWLgLWPz+2/t1xfBOmuiNDQJ1Xz7IkudemEA
leE7Bq2Itkol9nrrvdjvX9w6gseQeiDisxfl1NurdExYm0Fw63L3UvU3+fBsRTd19vH3n+X1xflx
mMtzwWVYBXGj4PQ9Hq7qdqDSconlMzNGZUn6sYmHR3Y/dDvZiUiSK0Q9W6FDRgMBv3Jqdw9X5cx0
AAgM7r2Zc5u1xpp8r/CunKH587eRFxHBKONzB6nh0doStaqpOqoG+k+G2pcQeNb9VOaHGpUOdJHQ
2//+dixf3du7YekEfhMeSFoJHoTjTWhwRIEZnb2hSXZeOPmZ614kMDpFN+2Hqd1OUf21TbPPv7/s
z9+1hVra5XQEXhxVxtETFbP7V6lT8+KXasfOsR7byJeNfRO07jsP7y8vZeEzI1IeNuzx+jbmVWri
mOVStIVJFNTRmxjA0ex39qHlTXt7J9kQUIay0ZHeybf39vElKotVtGQdFVVCCMC0bjtAqsZM4kC0
nlpjqZDf2SN+kv8ueDZC+hbNDl46FoK313QHW9Saw87eERNJ/pexayO8mhyBGJXr942RfmmKZh8y
16h0zqspXTvR3iQJs8zff6E/fXqLJBlE4AjgTfTOx3e514xmgtKBMTjm04rrYtB9RoUrUXNMy/b5
e6aZn57b5Xp49h1sJA5l1NFzCwGOh7YwmRpssqv2FDLQGrXfp3b3+4/1U3HBZZbVdRGee4BNj17H
3KaBYHNu8GmH5ytsHo6PcOmmlNodRWjsu2a//p9d0Xz7lXq5cJXJEM+3s+caSFJP2JoOYMXT2i08
yXe+tmN9HfJBALtsWLi8ICpj1n97OaRKVRu67MBlAWnRDsiDVuuSMyrtkSLcm7O3DUttG5V/gU//
yFx5Vyj+9x/L33mC11GTY9S+2v/++//tXoqLR/XSHP+hN3+HMKW/rrvEPr35P5u8jdvpunupp5uX
hpCcv+2Fy5/8//2P//Y9M+puKl/+89+fio7WET8N3PxbSrXJ0vOvXZUnRf38+PNf+MtX6X2gAsOp
AW3RpD5a7A/ffZXCIkpqscHxHPK442n6h00hxAeBQIjHcjlXLaK9//ZVemAr2OjAVmDNoEj9I+Yi
hwUegzeLm46FZLk+zX2TSuNocetHunqN2bW+F/XGXpqqO0vmAlCPVeHF2Le1xsmC/nlysBqyi7ca
CReZJOsE0JnVnobMDQ+NIT4O1OaHIXbHa7Nqv3RFvBalNlzkfTzda8oRdyZ86Nwv6GDsSpGM2xY5
0tmIng31QtkybXWqc2QMdnMiBsMLN9kIMGhD2JCC4F8KJU4cet2Q5FNmpRaLvRlnvq3XzTkcoq7t
fIZ/MYNDQhfSl0wyOnsM3MZq3LVoLC9eefRTNKZg0QSPawmZYwiYKJtGWWGFWPUnx2JyCzCmXInB
ck6Hqrer09KJ3M1cTpCnVQI3RwSStrxeKxWsi5COXFYPw8FlJkKYn8c80Gjn/BzcFLl50ShYrvM0
NjDSl+0w2wxWi8gkRqeuzF3ejTayEq0me2IFR7y4DoMpPjTtaIUntFEMvPUz57rBXVdOHB5qUXp3
gm6ePqDatRtkB4Ll/lSmqqd5pKkvGERG5yyrStA71eiu07BhjIVEKPWTqR3uUWoZybkFp7q7IAKL
nzu0I4Z8mXvyUXRhzWeIxyq70+0pV1AwX6k8Mx0BFW5h4gSJhxQmZ1TdjDAUoo0iVshb1+YY3Bt1
GMlDmbhBk/gAt23txEs9ZlJAOb0s2Pbsq0+hneqmXxSJdE45q0PVMnmIWj+pbbqpHXGZ7orKCaX7
yEUx27lhUmxlk3RbssQx2WeZPavHuesNrGzkb/YryfFdvJAvQpRBVKqQ/tVSEgyxVPQ4UxXD4o45
5/sIJJ9aM4EJMI6zIf08sPQvtADicKMc2pu3S7kd7vCsBktAVPjIPBW13dQzoV3JOPWg3SVRetuF
g2zRiE2ZtcrGJQeUDkBX+BHKJD4bq+0pehNIUlrXOZfSKgkKW8rCyyZ0cEdYmqTNaPRVA7w9UvEh
wNL8jQ1Y2StzQiQUwB8rVozWSAu2GNlBINAs50zTSlNCx3C8PULpOVlFzAxv1IyKCq2Uxc1CAeGd
p7qbIBGcSZhMaxET+zgTyECYwTzd1bKOaN8NaffVjcsWFkBtOc+R03TeKnNG/XM9t9O9KJcEipIu
dO5HVNEWyfDCCJhnFSo9MwnxLM7x8NLGl0VBNkIbobE6Deu0aVcVwVgvS4IDwhFL4UBtKx1aslBh
m8NMkca51RObm7hudmpoGCy2WtlZCd1UuhjrMZ16/Sx09XYgPDknoMackGBt56hmamhZJNQzhRXU
lOzeGggnF7JraqqPWi1n9DpOz9M2g+u80wlgXtuda13Yes4cCDAd3so8J0kmiWHcbewoYjzGEKZz
rufSGbPt6Ijyo1OHzUvnkQG6BUk1fo7J5rtxC0hash6Fscf9yiQ9Knqm9S4/yNlWjjNeyjph+oig
0ECcZ0AYNTubZvtOBphZt3MwNulWmGcApaARdsWqVq3tbieoByu9d+i+vu4+f7QBn8dPddEU39rj
7fXNjnyJhPO2rV9e2vPH8vhP/m/ciMVvN+LTbniM2x/5BsbyF/5hH1s0q0AJgY/9Tjj+vg9b9gfc
vYbhLIr1RXJCKfg330D/YPBXQI+w/fy1ef/NN3A/UJvz4+gUkXdN3/JP+AY0Ed7uw8JmK4dr4Cx9
PIjqx2X2lDqdpWqzXBtDg7UnZJgNnVanOVD7mLhEQUpbsYywA5mPg193NvGMWqlXFWPlmiMkz2Ss
/DxMERWibQuslR1HwYkJdgQ1bB8Q1Gd7zLFXioiw0ScCgjx7WKAhZOLUTgHGNkS17bnS+FSHySR8
LdCRuDHgNwQo1H48KchpAxrYu8Y1ornwxo3dkiZjZvKKeVaJDsftOuT1qN8YAZYlujpNh6PObLYv
xcpgQnsAajkSgUu2zjmJZLa7z4lSO6sRNDE+InWLYK7Riq+U6cz5YUDCHIF8bOoeYXbhTmsyINtN
mk3xpT63F3ObuhfA5rRz00P/xgesreQ6YRv9ApdXQnusYfrtUY+ZI0Ta+IrE4OAjJbOeQ/7kH/M2
sCQQ4IXwzHuKMCCtNIIwbAREzx4zXrnJwjxz4EKTdnOC1mYItxjQ7WYDdy5Yg06KSXx1ArJ33Giq
S8LLJ0LGJSmGAB31gpFW10eoxZDVFaxDhrfP58GYdwCURXSdRzBRkP+IlqjruA2u2roS3WYQqj1h
tkzEXCKK8nSsqtz6SsRjvOSot+a3HMk3a7aXoBwzabYRlYMiwI7J7zaM7KypE7Jr8NdM/Nu+JqGB
5C9mMPNYPkWo9Qg8w83wGUHXsM+C+nWlLS+kmB4tO3fW5HcR8CNaUqokctGszj45KWTuRY8E1CXE
dQbKF8NbhyiEKbJFiUhfMN4Qw3ZJCDMgw45qh0hHvcpD33OY9KzGtIm9XVKM9XfQOwtV+FJcfa9V
fyR1vFqifihheXVAaNBH5R8oilFrvj3pWEXk8YjM3boM43i7QHF3JiJikLa2rhhdunY/rGKqPASz
1hKr2ugeXJ3c3stBlKd5UjjXpcN4a3bL6DzIjfx+Wu4ctN3xnTPgaw/qp9+VRpUD6dzFz3p0urXa
KdDTLIW6pZP1iZ6XeOCrIG7IQkpEkpJi59mE9RFMlNX70mweIH/r46koGYlvRNX0iMmzfElHt2YS
5XGpfbNbO/zmjZJIYc3L9zjRrVszStlcElVTCiHVL04jM7eRa+Tf7MQ9F8TLXyCSH7d5pBjPMDMH
rUYmDwpnmVyX5dw+KOjRFUqzHJJ/EcDVYEppBB+ZhGovUxgU15XlZsjLvMJBNChKwFBIxl0fEVbI
LxYE4a5TKYopYruhA/9wvvrVV350ann9ytleAXmYNqHUxzyxxBidfojMjklQLG8KcEmfu8q+T6PY
xMiWtQephyk26WjaVDbzfFwEziPZVc2Vg6TgYPdxex9AfV2nWT+dupEWbZ2KpNdJe/fY/4tfFYcd
tDxWdpp/Ypk5/OBY9Po8QpSXE0DKzPATAGDo0kk5b4tON3cwaKst7WYCdHmV3mtZ/+rNsJkOuTY7
Hg3z4y6S59VkfiMAWIejtA90/0ncogW4Bmhd3rlab1wIZbbbHinrdpqbdtMVjEBnr4AnMM8bPfVe
AhVqZ9ZkArSCdHIyptBlf/9lvnqj3r4TNCh0bg64KLpM+tE74SZE72Li6NaZm7CdEOO57sImuC07
MmgZ33OgaAheiyAA4wjMGBdugl4gFHXSz164iHVi2/psEhG4mB60izrQmg36ILW30STuRyfrdmFu
GtdGFER/MUL+qNj6bRn1puD6l2XZ/8pii67Dv+56nL18fcyP+iSCv/EPTop5wj+tDvlaR9HX41GE
QLIwMP8usRa6lImrGXUV+BgOhv+0OuiC6LQel7eHys3G+f1HJRadkbetDmCOy7SI5YI6kH4xv+yP
b2Ld9m4RqtTwAVe2hL31aficeYJIHuW46bmuQZ11kjb9ohz015oz1QzX4Wo+OG5tu5ssCYvnLkFv
5Pdllt3H7RB8hSnrWOua7s5VEDip5S9+k3mtcpU/hCmybDOrxwLDgpae0YZM821YLxnRqsFJBSV5
JjQzqXHt8DMTyHWhbQzlWveC4VtWefIeVXTCjDtP74K8B3mdz5pzWziDhR6it8ozpbrhjlik+ILQ
ugkpVR+HZ11ttDYyvQynl7CR/xgaDdxVL6f6M3JyFCetRzNmjUYpvIgajDm+Yzf2fdczZl7XWp6P
u7nsyvLUICV341kj2p6oy4p05UqgeMi6h/RLGJfPTGdToIYgTpZpQL2pAMpnq17p2FSsymMNNsNB
f+AkLc4deyw+ici4yGQuo41mYViDqpJOWxd5HGDirg23ZlS0a81tK9Rpmcl+qMNrWBTlU2/7zajr
J2XWI+cVZA88yAxk5CpnCfeoPA1w3HlTCW0lIjfDckaccbvm31b0PAl09MPF0e9HRjYQEeomF00j
9UuhQ+/lwyF44ZTsJbjYWxqaROsgadkxHZM3cZNPD2QuKw/5l0mAdhDNCYddLx82KiuAF46NPWKL
oIvBIM0hpVzImYOztLLuE/m35C+ZwyC+kD7rTT7tWiQfhYNUGp2n+ZQVyI91qtFqO3lG+k2R+PYM
5zGpTmZSQZYIZc1+4XZBLdZnDYmORbwtV5rUgbqW7nXpdeprPTW0c22dUI2NNZIaQcxaCH25jq0o
WSe2RyBCmKT1ddzMRoPFIxaSKgTMni7m6lshChpKFroPzU9l2txZ5axuMyfD6aIlsJhXtiirk3qW
7ucROL+1C5tOr/f/d3Rtp9ekw6Xz+pvVNP46Pb45uS5//vtaSpQh82ZDeAZgpSW4hwPq96Or94F/
ycgTKsSCz3lt8v+9rooPIJE50WKK5ki7rMV/nVwN7wOAAbhkTM6+/9c/WVZZnt/0jwUkDigYbNvA
zhYexttFtZmEagDlYXLoyUqhlzx2GzfX4ivHCOtbp7bHqx/uyy9qv6Ve+qFagBlA1Yy7nG2Exjgn
8LcXlA3pBXYfWYQcZsm6hnG6bkzta59D4vz9lRi1v72WgOoKvJmzPxFntieOB9cEBmYA21pAIuVk
Yn/NEI1G+m3pCXLYiQSosOz7EZ49tIahN/LuRWtX6ZToxlbV9tyT6RNHLR1gP1h0VZPdCpclYmie
aUqPfqG0OdzbSN5o2/J+XThagFFJG5AKNoWk2di6UttmEA9ZFTs7E2feSGj0Icq8IWMpI4l9U2jK
KJ5Go87HrSwGZ+lhzjbfiKmPRbXP40aG2zwxmmyt0jRoSbtwJ7Iblausi8DpVHNFnnZsblqtnNLz
BBvkU1fGzWkd0xp7VMlYWOfuHDpXIfzb83Jy4qcMDztdBQkofwXkv5xG0gg8IttJwAybVpIDhizi
Mkv04ByUfCo8cr5SBMYI2rmXa5TQEqvDYEyFeyaVU9NtaEQ2rKnJ7WhYzaNdcWN4vJ/CsDeyLzlZ
LsKvB1IWqtORHB+Mv7otQBR6waQMSvhqJIJRjoXb6CsrNWabQ6ppN3LClBdYs9jMmAKscclRSxN6
/zHaTLauriyGz8SuDNW5xKqY37lDAY11lRegZQm0rPRe/+gMnF4nvzQFLFLfiQPmMxgiJZq8LQ72
QkPvy0Jc40YMNBEtyhdoBGKT6oDkrZNEETHpXLZtZSvAs5qqiIIvwUJ2IaLUQLkMFyxrKlu8CRJl
r9NWRs7JvU1oN17OndPpN0FDDOKnBa8203soI9K6y1kbmscsp+nq8eaRHHTNBzA9gyjoppNsrspq
aHPKktxwcoj0iJpoxcRlqm4c0TXqSsWadRkAHGm2jREDmx45VX6qQoxzu6pvJrUta/SJa75HO18z
zfDkKonrCMQMUW7pem7tRO17+NgEr7PxYbx0VP00JxDKNm3ZJf1u1ksRfiQZqMDHzk/T6dlPfduF
+BJB5Pq9GSi0r9zrYm3mCVl0leNyHO0Kz6lQ9w5tQc88dL1d4Ml4L7C5sA1WYR+uyOIUlw46SL5N
tJTYEey4w+lqyKE8GRoliwvDBg99Rv5ilZ3GUx+JfoXkWnN8HYneeJuItmn2RBctfxTNPLYl3grz
Av+9jm1kjAZbbiB1BXi4bfIA98lUYkqJQ8cuX/Qiw5Eki24KTxu4YGScmkb9telIMVthWBgPcVta
FCxa3AflKpMmZo+TumKU2W0a+uU1UTeBxzBjG4wEqahtITmmgenoVb9bWEvhug0iskfhGlGAoTrI
sXBHU7k3p8bG3miXqSK7WwI+jEySkVZdqeUUm7Ki4az6jkF9nch8z4jR1qGqcc5iGDJ4+kZoLTLY
1Cu9BkeqGu4gBZnhOXyB0d3he+mM23C0eHw3Gu6/5CPTiNHei3Ysx8gXVi6r5MtINHKm+WRf9e25
TWMuYdQza/GeA5vU1p1lMsfQ7Zj0ROZUWnmWJ+AGDxoysWpXD0H0nMPqnP1oJtBqZWekP/imF4UX
E+loYsmQmMGDZ320lTajRKzqeXWaziNc72EeZL/pVSfxN7EhqHVqxN14y1M5OOuJEDjrftDMkRYp
GMowxpoyeizWX1AolSrd1aVnJfOXaRE4Yuw2ZkYKGkfM4iHK+8k0v2AyoHbKVwMGDNGEZD3Feb30
3pYMacIrZrcbnsMKl27l+r21yH6/9pWkpgp9MfWaNTyPGMBUdf9/9dH3+og9/YfdeZnh/zWbX0QC
//nvt4/dc/xv/69+/Bq/KZNe/9r3MknKDxwubewFYGBMy3wzaWcbR0BKq+jvGfzfZZL5wUCG7tB6
ME0AZkvs9N91EuHSUOuZ3lMB6Kb3R4N2xG5vawmWVSb8iE7AfBrIPo+1pcuamjVUK4TlEtK6wwqm
XmIL5dma/E55MkoI7WZNt883NUgKKwNT2ceZmHfj0INF90h1Utm3WhnTbcizKbam1SZ72u3Jzozm
BgedHkE6cIYAeAJGaBrKcAKaZKoK0mbr8FnmYXUgweE+n13p1zj7T4kjanVfiKD+FCcwys081p4D
19JvnDI3toNEk8qN/iKGAOChwubg8eBn+6jKRXMo6zR8HM3M/rLE3ILlc7IbaPMkGJLXkB7SEC0d
X8kZvzdWKbDhjDJqppjfWImYgWZ1P7D/5taVDLDlCbR3fhmI4ZoeGqNDDBBO7Iug6HeN1XdLEnRk
7aamxaUSjS0cW0btKjmUlZqt06BhgHeSphn8KIhLyS2KFLPfCcxV5dppkLKfR+kY7wrRmOcJ3g3y
d3JHftZbJx7vTdnV+WEOkuzUiZvmJYjsDO9/RsAXGGiO6JlZZfdjVMRwzQ3YgLcqCck42xOGGKRP
aVWk8PFVn3aZ+siaMOG7DNjY7WrnujPBTP3sTqFcy7LEkEEGVd9V/bchGulms+foLuoyuA6qCwzt
xfAAdlyZlUQM4fGFhaa3QdnQFbW2VmDvS/18VNJNlR/OSRxexBon88jn8dawSNDHtWmbWb5p5J5x
zqiVRvjcd3W81jsL7rKZ693zAP6fX5gn6JxQhaY+DFWH3buXCfWYOzcgdbFf9gHAl9H+FEgXNlhj
u1W/rmbSD1fD4HqPbHS4aShTvVOn7iXmMKLSZhdoWQ7HMEDxqG/7sQtjHnkT0n0nzOy8tTKrv7Et
PNL+EtpsQRKiS4ufSE2YB+re++R5qXvnkuZwYZdJ1G11Kuhrugduf0PWQi4PAyqq5uOgufbHYPaS
50hnJ7msir58GLH+xDum4uMqp1IO/Yqj8OCPhZJXLjj/1GePVAyHiQiN7pvBSXHaw8nHY+Xkw5NN
nBfIb+ZepBNmjvvUVFE4rZxyYcCQGjYPPqMrTOpLzeSdZEM601GRxFJEEFNOZxPr6IoOfIG1dozN
eFPnwFrW7CbDpRvRTQHxQJkK90x6W0GH6bpUnXkv5WRq7OTV9CXvUMyse7J4C78BebjtB+VtFheL
cUJPc6IDNLodU8Be3FXxFDQ+4zjvPlkS5zZVMUWHmvpVXw9aGQagQoZq3IDJGeZH3R1q8kcFUOhV
5ExheRIlOFP2xMJFo99mS1RGHrZQhQzmNmu28nS+o3kdmati4lmkWq8M65IMUtzQ+iSc53rMM9vX
6L9gXh9q7Mf0yNpDyWic9FYwbtM6Qrqi0InY/TY2FswaXRQPJg22Krw7hh09UsNY+wJL0yVS1t7a
qlxLvwSdSKZmlXuWBnnAMPlSAk5Np0RQ8vonTmy9zHYprkpzNE88xjj4asMq+ea4o95th6wgFbT1
TI45Do7neM0QIi5OkFGW6ynUa3s9kki3VzrV/3oqwvwjRBnzMyGrC/xidotPpmPKL6PRtTpgBTsO
l1RL3C2lDJqOR4Wqk0oKTMKKvx1GGwFiJfLzmADRqbK6kGSIMljPYVhRvtveJ42FtVwNHu/QNmpx
nhVO6SFUr4w28BXDWQK2cMAC8EiqGYHyaPU5/hzVEktpxvinfA4Wodi2FimPed/OYXxKIGXoHMzK
K4ji1F6HcA3FVd4Ckgt4fHaiG4KAWERNyWDb9nU0M9LFI4MKatHIwKJxbfAJ+GH03sbZaeO/ZvnA
oYMJnb76gyL9ZoObWGDg7kydMMt+rZKiTFCicEjQgvLKGQCdWaBoCPrsiRUcKu5pw0sycBi8QGKT
5QZNvFzn6cA41cBN0CwNAFbKzXU3sSAChGPHq/Yqf9VhVUJWdUq4jlYhJGJbNM4IWhxNfRN3Bj93
E4W9Ti7LRKjZimUHT6DJCXJKVllK/N7OtbKZ2Em97gIH22YYjl236SJHDKdKRqR/rWKR2mN6pVmY
YzmTWJ6qNkljaE8yEqpb1UM4VmcWlR/Ovtx4kBwI09sJmWizlm43ET/s1vltXAElxh7S0eQdlJxs
Xw9Ui++ZJnN3FgggU/sEg+G0l2PTfKPp2dxp+JHHTct0EBJNXaoXYsuycBsYdtP6BLBWYI3EaD6U
GaiLO20YVE5H2EkBuWhmKneKcBrnknDKuDwN6bei6xp1NEOA2DyG7zE5N3wFGU120NuN2e6qhl8+
weavGnvNib+Xn3slS2Q7E+2J9rIl+SZbAaqha1smami2DjkisfCHKp/FKkxYjoUZkSoi5slWZxFH
1sMUs5CcDWqZABP508t5p+dYvOHQVKN5NUOLEP7IIDDdVmNu29fAlJAQmHFvPoSNcDgLGXPp+aJ2
k+ZioDO5d4fJvWz5RN7H0O0Kl0WFoMaLjKEzoed6zw6V4mjrCR2mBs8v29Qgi80ddHmp504Kdq+D
6LFKlk7SU2MEYeG7dMa/ZJUWog8nT+5CAnK6lWUQbJ3IYtmsJ/LZyJ0xE4WE2zA788HgaFsui45V
PBSAED7j9ueIWi7xuXi4xtk+KCyR8bVXRvmtMdGb/qglI859X+tTfOSsHJ4FkQDzLK18w6u/WcCp
6o+Fq3IaNYnqI1RLLQeFFU9/E5zWGYaaXUIS4rzF8YiOog0aUp/8mDciHv2ssipxElp68kTf2y43
CNNAZEU8i9NVr8YofOjIDn5I7GX+Oyc2v2iiiuU7zXJZbgpK3vgwib6Rd2GuSTBeSspWbakNA8yU
YzduS5TlwVnnBfZ8Y9DnIfV5Qsy2mSuO4Ogmvcp8INGO2amaZH4Fcch5SDJLrzbomkyx69qYRyU3
zLLeyAEZyGqRLxDbiNCB0YcwVNw/dIkuBasDgKbt5Hpdv49Qlgq/TwkKgoQUTu4qS0T2OeDZ1s9V
pGq5E14wRweSmye5cjkDNoQvOYnCZt23fERRLSEysvHqfiNCaUQr/OzWlrorOjfGwfyUZ2NyaaKM
vHPRjky+ZI4NpbcaxOQ30CUgSBhswXpBPdxEeAx9wlWx6APEEGTQpF79SSd7Eht11HXdmq63o20y
EkPTy1SWbXqJHRKkZJfm3n6OJ605mTyE3YrkpxjKo96dBI3uPgZlk/c+YcHuQwWwb1grHhr7Vusb
eD96QFT3akqnDkUsBb4N8WIfdBopUUlnNd9IbRzvSwSPuz7QnWhPLGJ5M/OqTlsxNTyiMXwA3+Yj
HGCCZbALY/06qOfuska5/+xEuNZXhh53pr/Ujr42a7rkqRcW3abc4nnRhoin3g3RKtN0jGkRNd5A
TDVDa5p+q34OQntLJ846nUnE0tWiwYueVaoqiXk4DaDhWTQffEcpIF1VL+zPhZYmp0Xbi2YVIldt
oVIWbo8cUx8fZV1N1gpaA2FLLfVihDs0sxV1dVA7Z8xGonPNCLBvFU3N5AdJsJ75edE5V1Tp3qNS
KRgMsjWhIgqEE/DPO94XkRDWtabK7e+ieXC6/dxG05XdL9qlKbSSPeqGjoc/Cmxv47T1+JUOj1cc
FLI9VIWaJqqtB15s6Z4MHZGvY2eozYD8t1hVIwv76ofT6y+62D/bD7jDBs5ZpGiShJml8/yDKiC1
jBFL1qz81PJ4V1JKiW+jXIZnHAr4nVtw2+O6qXFAv2N8WKacP/bPFxEC7jn0ZkCsOfhy4P3xykVN
fVHBx/HHMWNjSWcZ3oIlJJoNKzTUJhtHR0+NDIKmLfYzJcXwzmdfRgJHv8ECz+bozljDNq2jkQHb
NJiymCW6VDq4HU1Z26CZmm+/v8O/tAkuxqBX6YP+U+bcnC3HIBrGviTqolk7VaMICLBjDyHmUGDn
1oqODGG608NSxbGgGJWNrADeh3XHkC4q31Gt/Py54WNz9HclgxkHy+7bO98mkB4zKy6QNAhra9gc
3/NgCq9//7l/dRWBf2Z5qBa88tFVUgN5qoP92MeSMB84GFmUOEH+jujqeArjMHoxQAjSNkF+hWrx
7WeRo8uxMWFsrduc21nAIfRyaqmme8yZYfHOM/vzZ8KQyxUdgx6NzY96ezVBB9ZugwF8SO7xikzS
Gjd6UAJE/P29O5r3mMx5dMyWju1KhlriOPyRqMWO7Y53I2DanmwLTVKvBuDOVroo800q2vg9FPXy
q799GVAbIkhgnMX4jPPu24/mIUtla0UJj30B/mZsiysZRf2pHnX2nT4P6ontZvR1lALpO8/jT98h
HxUthsOHlWipjKM1qLDhgNiTRR8hzf6LvTNpjhvJtvRfaXt7pGEeFr0BYiQZHMVB3MBEUcQ8OADH
9Ov7QyjrmRjKJxZr1W3WtUhTVkoCAwG4X7/3nO8MrNSjBcpDbwtooQhA9Q/owaeGJHQQDNjwrID6
ZpSmnz6Yep3UBewIapveYNvpvJGNIcXiem/1JJMHXN8hsTy2HlzhguezGsI1EkbdT5/8kvk5WPw0
Bqqwx/VT8PjUqqluKFYRpJ271CRAQ8BukyjNMEZktuFDxPjwyfqH9R5DHzpTbVmQECG//5qZGBVz
5g4sRp1lPRQV01EtSFKP1nVeqoAIvcid0xhOgRcVH8Dsf/ueLeTLTHtxIVHf/LbuoPhazsBxEeS9
E56r1kx2ZqK47VsUmxxhPnV3cdRZTKRJmNdJ1uYWnzxUU2tLdTS1OMg5n55LIBsZnXv7a94iFGlc
OoMfXPBkbVguyBbCgkfDl094esHaSzuEgIDrqs6hH5oyEsg/XlVPVgbaxrgR2a2PdnqArSffn+WS
sw41B0dDBm2l8VJtNZttDOFv0MHbqeNH29fJA/PzgsvlFlGUa58uecDh+4qxEfrryNCfcw6sjyNL
EB0TC3UcfSBYBbyof/7yTp4ULmrAJECqC/uACuF0RSCXsSF+smaGoQyvIS0YvNDyNdft8YMv7R8u
dEwJ40VE4QWO8v3rEE+JVutgM4OJ18LP88WenJMMmerZRxjxf7iUDSCD4wWxZCSq6e8vBWR1UhMO
AWhS63R1/FA55enKWz7en2/fKYt+uX9YddnciXvFv3eqRIYSaqUtjF3sM3wirSYTnIbn0PWHVFhz
ehYSKHhjAPO7nAuOWj4ppR1BOmMxh9veBEV3qLUxH9Z//rF+vwMmQAacgpq6BKjYJze77HqXgXBC
i3jmWBeChgGcKNO1t/zq85diaMd95sPjjDi52cmcxyNAmTjQRH/vyOGeGd29yq8/fxlKSPYuIkuW
4eX77zRNUrMuY1rmnZYSVwtvdm2mJEN6XZP/BzcP2eDiC+FJ5SF6f6lE4tzsM+RsDJSnIE4ARLqU
H0Gy/OrPn+r3V35BWizKRKQ8GnvF+0vRYMnB1GhRQK2T7ug2836DvJ+hhLDGMN+IDpZS9t//fNWT
8wDPLEU4mwPqSB4QDKfvr4q0UAlTZpwBK5xXBSpnzcvBkvLKazue0zgeHuekIY3ZZZzTuaL4oF79
h6fT4fl0KdDxu1Kxvr8+h+XBxXOx7P99rV87aq4/w6+jNoBdyg/050/7+9UW0RM0GRSgSKlOzx7g
amqJsEDxRTPhS1VofNvd/b+xFvx+IUZ9cB6w1KLrRO3//mNpKZjCPoYaxcT6+CYwOPuP3gR0sWjg
l6LYRQV2cve6uhqTRcYZCNRGq4Tv6EGMBNLFy68+e+tsqmOTu8fH+b2EGbrOjQyt5ta16dnybhdq
cvafvNs8CKbDq83ZEL3uyY3LLYuzsGBOSjZDdU6/9bVAcHCext3rnz/Pb4WDjRyZOpDam9MSp6H3
35AVKwl8R9odqamlO3OB/H38af7hIvjK0OBTa6O4O71I5xRTQlZh6EOkL+9MK27feKPMzac/CnmL
i7RaZYnCafD+oxTkzDAJGkM/643ohv2lPBdIbD79pjrL/VoyVpDEMaJ6fxXq2wQtaRfCBAaWsTL5
bP0W+ybls4e5J/r0q8o1MMV5nJU9hvQnlwuntgydiVapXg3TfU5w9l5MNAxyaOfrP9+/319WSiyX
KFzEURrAnZNnzhDzhDeAVQG/Zziuci+pztWM4zOEf9ief77Yb48ETQAcHUuusKr/fuLLitRDYOYp
fhqq5kahE7RWYx6+T16FqpFwJ4+FgefBOvr+f2kwKXPW9CaXQX/I49bScV0RffPpG8dVuGl0/5bt
mD3r/SMhoZAqdpOFgENVOeykinmbs3Lh3FJLmuKDpsNvRThXQ8TBInR8Lk6rxlEarWtH0MEhARzx
w2gXwFzcTlrPvD21ow+cKb99U1yPTGz0JOwU1HUnK4RK2oJgpO4t0Qh0JW28QaMHzfrT3xTXAeXA
0wDz5bRmCjnaVKkgiSXOlXA6V4uR46AbjgJZ12ev5LLSIR9H0mJy5j8xQEzd3OAyHHijCiGR5o86
4rrUhQL8wYWOSJxfuhqQYjC3UZlhZUVdwz/fPxdtRLSJEvPu5sva3ZNkeUjCUH8pUCPAGzXCGAlB
XV3VHsNOxTSNfKVFU4q+o8FGD/YAMpPPgATXQolC/1yd4FKgb0DbqQEeX2vOJC9l11vPVkXaXZDF
eXvpaMX8EHsTvQPaj9O9bXZ4JwURORnuLowdDG7NBM8lJY7fRRaH/zhDZ7rPWiYNO+aXjyIcjPSs
CK3oa2t1Y7zRl1PW/Tg04SU99daAkWVhkQLX294Pc+1Gly35qyYGAtW4Fhjg5lWLoAGZrgb43TWj
EJIGFEX6yq7u/Zj70S581vJBx31vj7s5QgF72SWt9pw6CuWO60jav5/+3mk7cCSng8bGevretLnb
jumSbCIjatg2U0oGTx8+x7+/nSjB2UuZLhKEBU/s/XcecjuAcrA9mG5FO8nIx/Cy9CQ15KCEl9pU
z/vPfSw4bBy0EFUtnmlPP+2hV82Q0yKyFGQjWfs2eoW5zcs++oD+dLoIcBUWUrqcdMjoWf9mNXSV
ZLaQe/gQACjFE8qs2VKKuz9/ltMdiKsg4vfoALIQ0JI72cHDPNElGNiQ2b2sztO2BujQ5iEngML+
8KDxDx+JExovKKU/hfBpuYD8WSZVJRVfDgRdVQXbQsTg8uci8Cln3L/BAfofLXHvjHP/D9GC9CVM
8X92etxVsov/1508QQYd/9Tf3jnrryU/neMJkaoWLS2+v59+D934CwsI/3OWeoU6hXX1byGjpv/F
G0BpRkELz4cRw38LGflDS+Y3QWY8yp/20Z2eUumaLphHbHnsVybG3/evORSdeHQaAuBSTf2CWsog
vSjPz6oS95m+mJ38pBdm8Mst+qdxmbrsGL/uKLwWKDTp8PG2aywxJ9Ug2VamMeX9Q9VUZbqWnMjH
LbKk8Aluc+2tUrWHfz21RX7j9c5yeIyl80Wv0+7FsOdp22SVYe1pXSb5TrHJStvWsrP0h9FOIbjj
Exhf0V0lZ47NyHbDNHHpTZNLZK1b2Y3RppZSr7ctHvRDxNjoKQS8ytQfPqN1yIzZsNctIS1XUcRt
CPTUtloMhBIieEjw2PeSbzs7wFhziI1xx6wKGG9rqgwgOkAc8+3eUvK3LlHb8KsjQyMTyOyRBbaB
w93Wa2ItMAqSE1UmTrKfea/bfO+OjWI/xV7GIqFFHpotlqgYPPaqdnXpfUdGCKe5WmD6N3pSqS8D
JPWvVZzU5XaMUbHBb6iMgzm4Q/TAf8IVSQimNyubRiTGGAxSQ/nI2ci6qzQ5PihursfBMMH0yeg+
GvUGQWZjt76gyasqPpAgGW2LuBlv67wJ3U2ltu6aHo7armL2x53goWIO5zFQhpw9WslWjgry9gQb
DPkSIxpSqY8G8pASMsFKbSv7CoruUGw0ChdtN0ZK7AXk7EhYEj0WpzXQ7bBzcKBkaN1byO/DTZ24
XfwldooXvRlAjnuD5Q6rxGNHGorZfq6ziq5XmkZK70fAWGLfQULUBTHjYejCc+fiIgbYTXhAMU+E
jxmaIIIU1fhTbNr9187pSEWRkza5i00zK1eQ3cl2UhVJ7NCkGwmjjTElnomtolTP1S5XN7YY6vuk
6e2vYezSE+gXggRBGlVngAnqBMFJYR7jq/SQjO/ARs17D6bP+WxOXBvP+A+JFuhHIbMZ0HoeI+OM
Wyv+gS+gNzHxwZRyorJciZh3MZirWt/VlREJJqwVHICQ1DVJAnSBFga7xXDRENk0+RPHUZqv0Io0
30jC5JXSc4QniBz4Sc4x5ZHRDvUrIfBNs7LVpD4ri0ncm7UuxKafHZBXNrNmhmPFMDgEsAzltkDY
2AXEhOCdJPAnDmY3DUlHnmoVpFcWFuYKeZx162EReUUKmNwOESwunANFc5m4VvVgIkYj8kxphwul
AVsFHDtrbisL+V/AwLoDAyaIO+i7OtuksdoOMJdGZ0tgbMSFi3G+8IpsDlf6jDGU+rMaRoqqlkGH
N3M9wjKMwfAXB4/tF2iSYEMTB0pLNBuQ8xVDj6wsNsZMbmZGJaQ7IEr94jZJfZNmERyLRGnmgxiL
/utotdZzFXnzI+Vjje5VT+U15M/kLgWyS4sXc9dqagbvrZ8rAOALncs406LcQKs1CPFkIqxV0WvZ
zuI+mb5M08hLbPdEatIMnh4yOeffTHTPGWDxDgZTXi1xNiRfEIs0QZG/BmKvg3vxFLz7tQJPG/ST
tpTOY2tm+FHKSFupIM+INNP6WF+HqZWpmwyIOVI/O0dWGuQhUUvmWqh6Ur+ZvCx3mRU5zY/EmIjS
Jo+hOzAl1LrAcCu9WxlWUTK5h7KPzieLdN1voPHX9JbdRvVdxoeWr8RmmWzmaenyI5lsLLnJSj7q
IWpwPb0WDp2ZszYSooV+XA9Gs8pn6CsTQPlxyDCuNV7No6qOkZlEG3ee6yFwLdE746aXrfLAl5wg
am561wwY2MX2mtAtx8Wz1XFEG1JLy5ydU01l2wGYQgucbXBKufaLLZU53tp2gRltw3Alo0Zvardk
KdIjS7EAZs9Dmx4QSSQl6ouBXAG96rV2F6OAMvNAGo1EM8bZrNT5qw2j0y8zEycZjzycdm9bF4XL
8EufFTurV0jnwBPrlYoTx0NqvAuVbgTJ6MWVbZ4tW5RGOQ7twtmJVOIsmTmMscbFAqsMqQkoq4bD
1HpGnvtq2rb2l6jQCPkNjKTR1GVVLZ1tbduZg0AUZVD/JeyzWP/aqHUxrpsmxaOldaIJH7VkaN8m
S4SkMtDd86XSqz9Ic631fYmJWoCrVzkSTulgITSKTfY6K1afWO3Ct7klYaNL1eItzUJ3n+Jj61aR
opjlGgmAQI9b0T73xzqUB5IG4HnFDSrGdQSy59ZORPxYR1F3hj+h+yZBX3W+gmTvxZw6jyEsIjYP
Ak8Eli+cay1BdAgfY2UT5uOArbewQoimVu9ZPIgGmvS+umTFIm+Ih1dlxVXidt849FvXbEK68Pte
hBirYCiel4SvxEDaOOBjjCidbyh5UmSvTm3y7gP0mjeIO+fvbcje77cm00qiIgv1lVSH5ossVTsN
DDY6IPF55txGIza6tT3piPt0YHxkJXi5+r0xzGr2vTqP7rwm0V9GoqYoReyBDyqnelS7QCh9w6aL
SSreLNpOSEVltqRlkRN3Yw2u+0C8bdetVZEXRK4kZe+sKRamZjtWBmGSTSuKGBdeNLTrvGz7r4Ph
sGRV6URGRN6aNF1yIQp8/Vrs0NYmNG/jIfmsyQ3ISE7xks5AQ1o5eb6BCZp+NdCyEdPgRfrryGuN
q48h+LfI5v3BFVB6OqncWY1wN5eSUZmXViQnM93JN2aVOpfmSPjjiizFCj+Bm40mMWgGkmiW4ARj
vFGRI7CglgIEWdQgLMi9XJVeUtuHom9ydqE6BcGsKyxflDizTb2mLNdu0CTY+7Q3lcdsMEoHStOk
JzBBmJD6NnNlgbe9wNVK3FyFlxHEYOLbhL+QZprpyNgMJqVQooZJTNs5YWHawKUvb8ZpdpqV2bZZ
vkcS25trWo+O3E6zJRHzk0q2cYrSsc8SNRELqU7pVzgTPdh6obRZl1xW3GaAGxPEaRhegHfgOJ11
iqahD4FGEthKzJPaWxxIdxE+yzZo5zF9pMuRsPjqCYxG8gvaV9kRmbkZtbkvffA9qBKLMqcNA7vR
vE613r3p+1HZabOKSR+qD+tHRNtz0dlYl60Rl8/Ekg0Hs7NZu9M8my95NMdnGvaxvjHHHsub2eXK
mdv3zpU62qiT8QcmP+puHq8HTq7dZqwz5ZFPbju+m0b9F0VRM+m3k2MhQm5jlIf25JrfKqcq2aI8
4wfWqpq308TDjOCY/kswxkV0NZap8uymbvMdUgZeo7iSdJJE2URPWDtrgBhDfBigBz/ybcl93VuE
RTlo3iWWF61+K5N5TleYAvQvjZg1IzDhKWI8yMdm2FatM29DgY91RWiINwZ95aZfB8yTBfjuQhu3
PROWkPdf6YnGCatK9REK44pB3YaqQlU65y5Pqy7aEvgVlgElfsQTmo35o0upAj4rY4nxSZiGyreU
+qxgicKblKjYFX3WxjQkUqiXOvYP5KUwHQQC96Qa7YtBRvOtlcfYlELN7IEhz57eIiBMsusEi9Wb
pUfK2dxTMAJX0pynkgf+us1T88ZjjLLvncJqufnIAIM4Jl6SR0Fp2z2S8gFrVhgZLgLt2VYDk1bZ
pZV13o+yiIxnRiF0n1pM0spGLU0WBYsSHLMOwtdy46HJ1Pac2bKLdByXrQetcQnLB4yj7yUzEkwz
Y3Hwu75Uk3WqaIVY8UepQgXEOLF24ZbeakleqERrRUiWB9Qq/HZc0gkYr1B0W6lJeV0KPDRrKhme
wcSrmqvWztKWSKXE2KRzydLklFZ55QByfSrqrjeDGY0wevKpFPuqG1Jzg02cMCZRYHgqMQ6jf0oi
WVykYdaikeZ6M+CuHB4Q719s37lqaJRrlzJx9OO0mK/QvhUx7LGEIm9uRKT6bYrK+SIhQA79Virc
PeZXcY20QIHZb0Q0plqkVDjUSVkp+cYs71Wj7/JU8BLcj4bwMGhMLcFwtTOR6lPjlXiJXGf8mvQt
txv2m/Hikssy+72pd+2K91t9BuBG3VrrpL6xApj3zG/Bq4RKWF33Mz9QkFUVP0/GyPolM9VleNKH
3q1WZSGOqrR2v2AHdJzVgBJ8a7a9VVMLDQqPRa32lCCaFAK+wdzYO8cqm8VKC54yyGuMa3wvynwB
qq8r1h5mj2KtsKyWfok1yQ5oKBk7XTHArxcKkbqosmO45byJzn01CLs9WqPaICEmlGhNU1GjMxZ7
7i/sEB1fMRJ9oE/gn55k4U5Q9ahCgOBUWb/unBB2Szggj/WpqSyOWfaUTps0b3OwAIVRk3M2xGHH
4UrHiKL17IijA7UriChdaPCq/dzy1MbjU8tR5O8cj0+1nv69vtIf0U3L9b7/C1/9fweK+uhq/UNz
6be20uKC/butBLGSMBXmLipSQyZD/Je/20raX64G256ZuGEvxTfdx7/bSjptJVSCOtkNOmMQisv/
biuBEVlaUfw9WEANoJr6Zzgi4KZPOjx0kxYsHtI8Lrh0st43lkwcfx1AgSeQCUgfY9EDAiDp91gJ
u6x+zo9I5ZWOV105t3XzbHZYvKc1QejFtJsMeMlBM1csegCHqb3Fz0o8N7149rCQzjyZ4c+K3fhZ
v5NYSjGfEn1JZV8wYm8JGxLUA1UypOVKCTubs4AEHIgwPhwN/TJl2M5fLcmr4+QwVWrFOQKogxZv
I3JO7ZcojNMp27g/zx4DAJPlJJI1BsbJ4xEFygfHFUwkHqio4zEmwYSvVlu3squBdHN95MgjLaLs
G/J4j8ch1ErOWWYrkczXXTjpzar5eXbC6MNBShHLoSo9HrCq42Fr+nnyooznGOYcj2RY3DmeieNR
rSobyJzV8Qg3mxIupVM1VIk1TwiZ6m7dHchl5PDnWtRRC6sqzeo3iMRFtWLZLJDEq8ApxQtB0LG4
tNH7NqVvWRYwlHlqMsxh4EEkoxvNMjhYC7eefcccXXffcWDI3iZQQ1C0Ez3y5LmK4DRbY0KoIton
OVUkOpXqMdQYv/huo/R7AMNz55O4N9Z+k+fiGvOsa/ujZ8o7vi5L3rcOBe65UMwsmwiAkwYOWVcm
K9pmuF91yv7zFKQc0eKypADKopnISNBcxFz5zJTmhsFBqb9anePlBFE3qIgyHmDWYmZHII77qSvP
CgCH1TrW+I0Rm5ETiLBaaC5TShAu6Y2RPLPsQX10IYa4vomUDUOKpdWdsUnmwrmpoM91FJEeuatl
hai3D9QOn55fYlIu0S7NfGBNTHxKpydw/BEnlumsONo7+H4yo6dkmRXdIhw80mKI04wIKf+LPIyE
Lyoz7+mz1Lp0r+BCJBbmOVcxxlWGYfN1CI142Dp2aRjqvtes0fgWDZkwntS6iiA49gK7aEqHxOw5
EFbtbKTbPhuo3Uesmlhc2JQqzgS1oaM+TIyr0huBPDcYnqIAsg0/1JxUdR5UJjBxLItAQ9H2efW0
zVzFIjKZWulaalb7asqGnNg5XdKCI8+FeTYZDI/Ze6Gy0cjso2ve2PGBRgK3cVDbko7ylHJcUdyh
u8JVtpwfYrqjftqHDbaqnhPyxpNG/dUzcBitK6mH24EUXFpjadM9kxal3jnhbD7P6uA8EPpQAEMb
jfIib4iU37lEtQ0XJAtLx29rIhv9ltnpsIolJw5/RllGCFqdm6BuGtr4vld0xrwSquvRL+5UEnTd
wa72ppVXo9+pY3+7jFSfcrgrxGGST68FlBT81CWB0ZXvxLQRhckS4zvqlA+7WjWn6qKZlXlD+Ze7
z2OsdjiIW4q/8apTdQLf9Zp8bbLbhkIsJ1q3Lc86cK9yw1I1QbXmDNfRpnVxWOPhrWDSDnNVeEFE
WCSdTt1O0Wn4WVWktNEsCAXzIwQQJb5VOiyJhDyKISSve6K8GbFAjqYwDxGzWx0Hjk7I+8oIdfgc
ELataEscSuxoPKUZztGVOahasx+5HQQB95WRrJMCJ8W5Eilmt88qaCSHSQLfP+e9JZJwMKvSFavB
E6TGKQDUsRDrauNyDnNBu/HxsGZF3xmWx/0zh8iGfMkhpHRpMegoj6Xbp5BZV3mN2Qd3rAKNrKV+
cWrthdGFO2d7ziWRjmE5MpgmEw+LMuCe/CTrKomKBvRZ5IAHgbydX9DbJDRRt/um2da5HCkqn/Qj
1cnrlXJhPMUacavqnR2xT7jmuS6TcIZNkHWPaZtlygXng1relomt1fs4JjWc42ilx3cFHXJwB4DY
sbcaUPVBunt06sneld4mR9RLJGSH0uY2KlrVoYcXdjeu1loofmUoc2b0uMS23oRjcSXSobgMe4HH
okRG8M1ViV/fFOTmkZuqxsVla5HPyI2bs5SXankk1cQiG8ZzWiGCdrDL/GAJwu8QO9lLA0YYnJSY
mmeXPW0QNlPG3Yn0bXgYVx2Dx2krlLwYtu0Uh9dhBUkaMi06nH1lNioqQbsTP1rbrp/I3JynDR0C
59CLqabFF4nl0YDUV0QFJJwhUb10N2chvNoYeo+6T+yW3RPUUaqvQo1FZcNk3yZhQKKAjYK07qeY
7mHXf1Oqgv6zN0JnVBpd2BvK21r45BBQvi5ISY1W+jDwyMALpVOO3/hsmKqU1D2mmpDWs6Kl+9wa
SokKHT+ji+2gYM4RDa6VrCDsaOeJISa6wo41PKOfJ155bLw434RlTVYS23fHqkqytRrELg1DGlBh
dmY6ERjAaZ4J/lncAjsOaO2widLaeh7rOCI9nVN5zYHK0boa+gA9451Kju98a4s2tgOPOTDcAfJo
z3igRrkS3rh45mkxcNQRNYezUY1f7TCHL8OEYDrT87B0VwCU3Gpj1HXfXMoybM4iI7zNxVzxVxZD
ful5vYsvVpnKb4Vs6y+cKiFXjr0diswnMaM0DsIC4xUkUYlCYrIh367Ifw2VXdjq+pVpE9jotyLV
0qs8xrVHt29i5af4AFZtKcZXg2F7skOfk/yw+Ja5oUVq6E99p5vyfplzya2CkbwMGsWLddoQZq9u
S6cXkMg6Z2YNon9B6W8KS1t3diFq5Wa0aqN7TUoIoQPiV0dPg0H15gPps/oLYK/oThx7bEqsqd9D
DrZ4SGhMsdtUopDraWnO6cc+XTg0zrLx0b6zB019bY49PZDEAHZHOIeAy5aun2MVRUowVq53oBBo
DGbHHiF1HP1CsHMGYxsL+OTUTiVBDlQxw5o5lr4nVCJaMmfNBLpyYvaHOKJjwvdGg7JhEESM97Fv
GaE2qVfKsZ85HHubZQ/+OiCykh8+1WbxUjSR0/nh0hT1tKo7sxsjflR6WqZEtk762jl2UvO66g/J
sb/Ko0iZZQI6L9fJsQcLm9nbt0tjtl80J+3SrCWZQ32Sxw7u1BvW1j72dUG50eOt3KjR993S+h1k
b0PCXhrC6tIaji2vCh/FsWMsjt1j79hJHo9dZfhwS4uZsyP9Zv3Ye1ZyzgrGB2Pe3yQkOGQ4oqBF
RtOK9WE5IvwiWvNAKGHhLUgZEXpV8E3AWV1Xmgo0zclo/LSib7TPXpMAHk4dIIM8tK1Ijd5fkwg1
q3fbxPEdLSvOTaN2tzMDwPUUjjOk+b79QGu4iKx+HWRjL1uE5JrBNJtzzun1LGVM2RQ0G6hGdGOz
32KV1+VaS2ePkEaiL7pRg2ol6b4Y1IhXfx6kn0o/uLrj4TdDVbmAiI4mrV/uMG3maQkSo3rG/rX2
bMJXRr18/fNFTsUsnN8ckJMcNJHLoGA4sZimHeL8kcWc9j1EwHqyhckajKU4yvrq239yLRQJWMsW
pdmp6khLGU8mle1Liq4lErh4BL2nwsBN5Uf2wKOE6f13t+A3wT5y5sWOuCCrfn0+FQ2OSj7WDA+g
uAX25JDtOhTqvGuEoIXdYd2oqbpXYgTe6hSG+6Igbl3HBtQJkoydZd8xH0diW7/VeTmdzUpN/vGf
b8jv3zA/o4NCwoY3tViW3v+MfRQZVcZMkamMW62hyeQ7U0n/ZmP+/w7Lf+nLqvOHDgthZjyiP3PD
FrDr8ff/7LCYOsQwRAwUCzhiVdQc/+qwGNZf+K4Z2bBJAEl1lq7Mvwhkzl+8hwSS8CfhjR6p2e2i
Efrf/2Xw96EUZlqAK8sgS9j7TIcFZddJiwU+LJLgozkPEwSXW9amX95+munNmHaKHiSGskQlGWCw
yO9RlwAlgjLQWhbsvbA/9eKbVpQt/ecle8k4xjDlloYoDe4BcVKhnVUkg3cuY8aiGokPY2xW0nuP
+AHOh0wh5smJa/c7YhcSWseG40jtS3CmxELRPumYFlh9Yu0NNQzvWbQybzX2jTrkC36nboC02DHN
RSD59lisPICYIlkzhRbld7sokbjCknRj8MYa55eyvNQKh25A4nQjyRUcLceO6tq2c165Duj3m1E0
A1MaT3jZWkhAhrsiJyT8dqSnDXuH4t5YiabRISTixx+tN0OTPa4fvZNjdpAEp6jXLlyClxSBsiaY
qdDOGn0K8LR7YGonyz1J9KR6TRQ56HHSUNOD3OsbV1C/uZBm/EKZ0mdwNNOXPLXbKyFN3wT4FejD
GO0cZpXfW8V+qELjsmNQ0WOHvdDzbjupqp+Oxg+ZxDcCvGEStCUH6FLCdSuFpvrHMaqbVgey54f7
mZwuDJdtc4Fe21hbFRKPwlMu+LEew8zkniY1QWuZedan0XnUdd/G4RLL36Ys43NixVaZIBAVLPS0
T6Bv+Y0ZO7d2Z114ETMU3b0w82k9dybzdVpfrQ11JKsfkAocau6wflCYzp0NTXvFscnsVxMyBd8Z
4psBGvcmIrjK8KtOno1jezmHurVpnSX4Bb8Rg70pe5rNarzE42hegry4UDkrlTwY+ABI+LTuBn5I
yCnRA/lNxq6JleymoPDz+6nXOfeEu2jgIFeMzJLpNnFrTfO+I2At6FMnRe0RY7OrGR2LLjzL05RF
eQIHx0jI9nZYdNULVDR3GE1XelM81FkXMfqkAZY1kpLZlmMtAneu4/seKuqZbXNA0CbhgiyN4nPV
+2E7bgSE1HIK32RYGmRDczEoAk6bg1Bd0ddDeAaI5DIqbYRllWGYX5CPKNEacUzWrLShB7DHg+C7
Rb1LrOY2AcfqO05YbvpmvKQGovnAt8+0tuLcptYB3/0qTr2gauJqZ9nTbS+qnVMn3WqYu3LLNnYP
7nxDE59hM8qf64UBguJTMwOqTJ4FTolLfdvsrYxjF1PISR5QBKn8n9NZnMv5PCxteLaSfyCiQdFN
LXgtsYwpe1WQHwE5wvemKB0DLalftBIRYCmSFxRGZo3OIX11apnVAaCPb21rGRfdUI+rRTF+tsTl
nTt2bR7shVFiZuMO/B9aKE+KFtXPjHpoCk0iveqh2bSlRExUGAfUHbZvp0p4QO/lBTpQmhWfyrvW
iUHr1zhzmSuZ7fgt0/LXwdDKTd0V2iXqwrzcmZUyXcCJ07ZpDh8umGL+NDQMBjCDqqwHhcbBmRPp
TA1nO6Ytgp4Jh3i3T/VuWJcSd95GN9LWII5IbCfoIcvAU5LhA4hRuKvZg7Xjgyvr5QVK8rS4KoTy
pinyqo3rNzukx4x2Q8HkP1XdF2p1FxHH+IWzYh1oBAKAR75XRZUHLmvthWqFZ1FjPlFn5MpLYaCn
8m3Xb1yOZRrT5oRAPwTxYWl8bz1myOpQEodEzuIBaPdlUrEUZonHgCyslGvTjs9QMV0mZWueE6vn
S1paV3mf8ptcRbKiwWRU+84EJMm3GdmSncDQ3ojH8ZAKuZlv9OJHMxThWxM7z7mnrI2eAapHJ4F5
Tk2g2Rg+hv100ODn7RkTz2QqAxJUQ08w0jcuq6UdzJQYPXzQIqj7VoVKeRWVA3Q1CyZfY5a7rEyv
DaW/nDKOKn4F9m7TOwo5ceD9KYohQ3WkmKBFsFBtela6yItWdTacUz8f4EQaKB6iRdA5qo+aoGNl
0qtSbrRIWOeoWnOWmohPnlZ3HJZWpGrzL7T9mXIGniJX0o0HnJ7q1jBr6zJjs9zXIbM+245dGnWC
JcMeFEgtImDNQS/UsmFEVcuBdHLuaLJ+tcLhybEq52LyHrpS7CpXbMZeLGru9mJmNjil8156tnwq
8P/4jif3ZXNhzfsRhVifi6ulQmflaEVgWDz7lXiIGpWgzXB0Aw0T0zrWCYRqYULI5DsrnWSCEVmH
EZbtrUF05KvR/6BbuTZ4q8nfQvJwnbA4TBnK2I4WJpPzLswuMArEK7UWV8lsknxAi/TZarHSeHRF
Y+PWdr/VndVfEPwJK6/ZNXN4hV7roFay3XFEC0EOCdQg0EZevEhe1Qwihlg7wNI6m9L8JtP3qjIC
QUp8EaJ545hBABUa1hUyiYOSyIto0iQpysr9NFmAHpUr0YEoiMpmX+jRDxbfIdo7oV0GuhVfYTzL
N7juL1zlrdZu5MJXbPMNxcFjj2LVT+0U7Uforb068xZ70NYskjxZDSL7XrNOVvUXnentkPoLOb5J
XwH/AbyorqgNNip5ampzAN4bjIxC6zL6gs/t/7B3JjuOK9t6fpWEJ/dewKrDnhJgHKDUZFPZViqr
nQjMTBVJiZ3YiKIMA574ITz26Aw889Cz/SZ+En9BpeqKlCqzKknsXT6wNrD3zi4iGIxYsWKtf/0/
20zGFEHD1LHBlsqDjuOeGulV3Bn7HUiyszOXqlxK8THJk6G9nnaNziAmBG6YkB+vFsckr0/9ILsy
1hifr+sEDj0sigkkYGkgNty94gJ1yZa9wZ8ceISkSYyeLki75Bn51ABjDD/5PIlObHf5LlFWp6m8
ODHMBy/Wr7uueuP44WhOeMgHPmmSvPY7X/TOha9qa6qvEYTrztAcWvYu/UxYxU9zzxySqaK4baRo
j7EE2kZR3BvUyZgv+90KWj/ClcYonqgDyC1H3c7ioueBAZrY+XLJod0L36+TEC4s7R1FGceOgv+x
6l1H3ckgmfunmXFDaItybELq4INnyiWkTaSCcmBA0NQAn0SBQpDSk9XLdWgHUaKKhwSM1FOI887W
6olOFmS1VE+o5RnKEasFLjfSE8t3oD7mQ3OyOoFL6TpfkUUxFjI6cL0o4hi218n79aJDcEbLg3dw
trindoFf2oUIcpEkl+EsZe8H6eek0NQzKOIgNYMhn4igMXHj90ru3vrxtenMwtMlgethtlhfK93k
XI6X50o6ilVk5xTC1EuiiSYmMpzf6kjQflypveUp4JzuAPJX6Oxm6HOESHkW85teb3Vm8yf9XOsN
c98f23gigwKs7CmCWmCICvQB5vE52u/QakbFBUg2YlyeBJwD+LOjnnneSQj9O7pqOXIeeTTQ54Bx
gtx5l+cJqxsmV1haDNyeGXQbg67iWI5inJnm7FNoI3KE1OV4UjgjB801deGibpuIBMWdQs9B7Mb9
jgHvnNL9qLnZsEdMoL9WrrT0/QIp4D48bMMoI21FkouzGL4ydwCP4IXsStBu2UwMmYTZmWMS55SW
Az/qnrpuWByv7XQ0wTkuXH3Qy1ms7urUM8ApeqCQBA0jfIZDonfHUUf6rLr4mit5OCmisa+F5FbJ
b3RM9UMixZ/EXxmx91FazccuKKOePr80l+ltR5a+Eb/6QPJg1o9xCYDzLgfpYq4R1e91rtd5MI6K
yfHCmx37q8Wl5MnvOqoPZljmrJdgXVwpY1lLPqyg9lXD+8Rje5ka0zHzzyXPYAUYX+Vk9aUHeWA3
Ni/tTBoZ60BFka133FHsk8CNPqzCyZWW6adZCDPaLOvBqh4H+shOJfVDbsIOi/rtZERlR8HfLrC5
ElKNS8kdgLf2zhRXG5lwcYIYR6zdjoxi6NukyGZQ5wI4PuZS4ILNWJ1ovd7XdOnGiLetFqeTGF5/
PPpFXozQPxwBG4dJ0kM0+F0vUL9QMHg+Z61QrDDy4S9GDZe4K6oOhhf3jokFvLMDv9/xo4UNrOxU
z7hOzZwv666BakJQJKdBJFmKBO+64hKbB0OHdZxNln1KOoaiajnV3oEIG8JEbZlJ5643Me9sb3li
hDJE/B6cYcbqXp+fTzpKr69FYOEV2UFxrndtzJaroU9yaKKuz2dA6uy1TtY6hyLOWOFda3p0Cm83
VkjFUz6F7BcUp6p/lnLphATiSFF88mIRGoxhfmyaxa2ogZATDW6C4AKd2P4ETwUrM1ok4VdvDhiY
kz2H6UIxqTZYLoEOexfRRH/nrK9DieSq9hmejJGafrPDzihbB+9RBhi4UdYPwxjnLx2umCMtuJYg
A/WDNBzqeMaTHK/Klt6vFWQD9SUxlRV55G4fZbmh5M+gLIipEO18TNJrM1iNF7pzmRAqlm0LRQ5l
uCqQWzeMyznaCbM0/xgu1cUA7k/AS0hD3UUFIUgIMdfgge2rGSC8wcTtfDNUtGS7SEkv4zUcaXZx
bsgr3Rt64AYlLi8L72Fukwa/mJg6bp40J8d8MomTgtuQ2p19MjOwgUAdV/jiGdiIB89xO+hidLPV
+hYApbdCrwou/BOT9B6MNn4hTc1kpjzIeWrfAqTSeHDZNSzKRfyvPVL12kAFgfctngSYdbAZHC++
2ivGWuGZKkKWRbG4dPLe7ExNhYpSB8QX8rs9fQFLYKm01EWA63rJHa4DjZdMSn5mqDGA8kkaW1Kp
2KSU6k1gwuAAmE8mCfV9MAyLq5aN2hOrwfnqdUMI0BNSUe/UUhlKyjLC2b1SMQpS0Y40IEKHnJQp
lKUkxAuOTSNG9HNeSk8pjnxllGpUQpcqUxzpK/AvxKoyXwhXecoaMriVKO4ZQWA6cmKc5KHqaAjB
dFGVMPpuqYW16nTIv0V+PEGi2QhQkmRy8a6W5KaHHZiYPqC/jbYWZh/6UReRr2FWqm/lQohL8zMh
3FmKdClqlhjHc6Hdte7mq3Q4WczcKwaW39mdLLrIwXEBUlyszbFvmiwaVyiCzQBy3s2FShjiUfm3
DiUS0XAtxWAYZAfZcYSpqcwAHyxuFvlKaEggiz4LjheahwOnhNoaz50SVZLZC/gYB/YSCvKhicEw
B9qS6yYX5di4nXiRfoes9BLLUixn8ORFet65mCUgGQYIiOvGcYJQR8ymW/vzkboO0B7XDRdYmEnB
47VWamBPssy87i68FWGmKMzO8SzRy17LQjt7XupoI0uDpnZq5zrIAFeejeUUtBAugVDgjlwUCftJ
F2FuINqdj3Kp1u2Vyt15Xqp4k/37AksA2t4ox6PznaP4HZba38BCXUgvZSnoDIpSH7wMAf7/aOh/
oNbvuWjol6k/DSrRUPH7m2iorr3R0XQkDt2t6TFoJd6M1Sc9hUn5m20ZIyHJp+gnFY0yUVTBKwD6
rEsw8+//qSIKCyKv8vWuSOyGCaUSu4dQh2svRZBQNMnkXqqxT1CoVJwhHdUPgT10TsD4xtENKm2O
i25s2mNTed6KnHvfXiQd90LRyV6fEMpZX5trACJnBo6dqOhWOosTRUWtru/O1ikQIcXHdIIe979Q
nIBOqmCM/wRCwPzSDedrYgiTefipq3ZwjTPK4imJodq/Y+aDzA7TLie8Klb2JO5qUOLHsR4sCDvN
wXB9mjso3H+QDZtQm+0tHDUauEj7dr7NPSEWzR51qM/Ep3HcObluZNq4fAGnTkj/23IHPxsx9/lF
dzLDmVskAVUcUtbJL73cDRx0myWFA9UrZiSx1XU3udElhDTP7ILgWkB2OyYEFBXw8FtdgXIZdB1D
Rds1MN2uQwV+Z+71Y3OuK4MCvntHOQGkkE8unCxNiQlNJJctqOeZbk1Can/uJj1XX0kDsHBrQiQu
iT4CjrN4FqKYoHYXy6/FKlnFH4gUr8DLxCsfc5UHE5+QmAP/EZG4EHpu4FaGWlxBla0476kk7H1d
+f4qOpuswqVzuSIRBJg6R+8bDICqd4qJfmzzCDNlMKMxuJWg2YsoFPe7Lo7txI58+zhWlYWC4Qvz
LiuD6FoU2/64V8gzDbDvxDRDeLP6CiVK0fIbevYF6oXwemeKBit85DgfOhupB/j7UoQfbJXiAC55
eopq14W30YYIS6EICHqRANCpnsLJ8mG/9U+hbI7dbwSDO8qYkr+AqgWTOhcg7/MPEylKLaoSZjiO
Qouih1x1h3gKMhULL4tmQKm92L80nZzqhJmQs+hppJFPKUkzKNbLfdk+TRylmAzCNeVg66znvc/h
VRmmWm/xPgLt6+EmAu7ogxCR3yNqlp5RhZGPFpBnf1CivPc5lfzontv1tRJH5ifJnnUAuMxV7X2o
xv6D0rWJb2tqpoUc71n8mauGG1+vAFR+jqSVNEanCbgat6Mva6EvZNuKGVDyJevxYEHGOSbAHxzn
bmesRqiHE7z0zgvXA6CiFXr6NddX0XsP/pKvihYTk6IECwB1kAk6fm+tHndzruhpB1ZFP1fc83kg
dY7F2a9Cb3s2cVZSHy0OzuyVitPp69/WGjW0HM862G3pbuml3HIzxbiAiZUmNCW+tbvB7TJBTUDx
tNU3rsTxeVGEyigMJtqAzTGHZ0zK5uPET0IKClf6DK9LWYhb8nzmGxTnzCXj3Aw9yOPnsHjN35HR
Nnvnriv31GGXgrLu8bI3SeZXniSvZiPViBz/M+tglj8qZKl7Az/JJ9LVcumjcOajSGZ8sWeUUPRn
xYrQP4EPgHAIisPXG6w9v3O1Xk0SeP3JWpnXPWoeDPIeORixcD13vlFaRrihMzGi26Wx7N3ASx3f
d2XEkPswXyCt3l2l1PQFYPc+9Drd2OBK2FkyiBhqjc8INQTBKJaWsjRSwOZGw7AA1niT5CkFs+FM
TpOBZEvK51ymvGkkyyLNqeQRPGHzeDY3jx0tdAGiJM48fjfX8nB2ioC9kNEzTC6B/tohVQmMM3eW
n1Rj0V2diPywMlAzwFYXi6gbSmAc4wTwJwg0w5uaeaDMbrRoEUXHqRrGsXS6hsdrPe6pyHyS3Fko
3jkwDJ/ZoVSbSJ+6XBJW2znhDtSi1xOsgqqB1Bm5Va0HoE4k+XaTaFzGoOKnSpswUgohZGDOpHAY
RXH68Ip+qNoXpWqQBfVqwAQ9l1drU11O+nAFLu4jJy/u5dhZvgB/2Cvn52l0yG2oryd5rhi1dDEQ
46VnQG8i3Cz1VPVnLmUsXnBLRceqv4jmYPcmbIrnH63OBQvKFD4SMB4yx7uslKD23Tn08qDX5Q0J
JppAGaSdFVXfvkT4QDPXVPdrMwoyJZVMDdJ2Cxz4CMl5YJLmx+fHUQcqiGGYIDwAnXQxjUZtiiGf
MaG+I6lhB/anLpJvFxy13I+7RXz2fE/7i4aSJq1EtZiyIJ6tLpoudtMNZSKVKWU1d6jdyMfrpJAv
nu9l/3mII8FkDq84lbow/VR7CUx/tiRGRy1Kj/2QUJM0dOxgckE+NPrlXQDxKhp0GjNHxqXOWrRG
KN7WjWDS1+MJNG2F/Ojkin38y88Daw2E2eTGoQ/WauAOz9Cl1OnOev1FZ4LzYyO0hkBCN71R5h4F
7M93duAVGQQuxc4mQQ8HT3XyuHQbS7CTPaqUFp870lLot8zdF9bBgTdk4IfKmlgDUPLUnijSFypS
LXmvD8Ia7gHuren8fA7cG78qBN40/PVnAtgkQdcHJERVcbR395lRkAFkE1KqaCTZsRKnvdGks36J
I1MMuuJa41DrPZh/sIh0UucXMnt5L9cCDdiWHrrIAzjzcyNjcwPezyAGkR6ff6gD3XEtMFT4x2GF
07q1vWSmXTQiEqoXvVnH/bRaaOp5x+sp53HWC6/UotBeoB3bN5GSqI0hrw/9CHeZ2iRSLDCTFpRH
EmUnrualtqUoxJGMpXxVGMSflKX/Qo/7q4QeZRWUFpU3qmrWSmFslyopAsVmHxhceLw2F+g+Mg+D
WELq5PnJPPhwwmiogO6glKmtel2jnNhDwwQN6xURrXmeH8M7k92heR4e2/LM/WAmOYQFz/d66AFZ
/OwCWYVqWK4ZXoSybSwIePuuLC9POiBORko0XxwnkZecPN+VeIDdxSlsPFc+TmzkDpABrM2lCSUL
UmwFiitLOzt3O6bwM5Pl6fO91Nek6AW+fTLj/IedULe80IYQxEB3KEaw8l5o1Zz0QNCMUjhrrn29
85I28cH+Nlg09gEGuLqxZxPbK7ozqPB65gyVLS2en2SuVnxeYlayPvhk/4Vp3F8n+AYqfHgUiFHv
VWdjdLN1Z2kaAKjlHEisEoA+E8wk8zsNAtd3MSJrYKONBYn85yf2YL9YFQm0IqC7Or4vXS3luMhI
6i1yX7vzokIeBB6pqCDW04dClpbjTkg64/lO99cMhQKQpclwT+IW1P0Cze0h95RADZpC2gLs1JPU
ewVJpOHz3ezvAgVVaQmMF2cB1rP2Ej18L1nwx4rSUfWMMu1HbFB4MuvB5PmKnnglBFzorCuJkewA
v5awSRSLWO71Q0lOvnCdjqO+tk60U51Q7Esk0PtrE9+YQAj8YmAygbtVO1sZdpzJRkJnE++EIivq
OxLzIbfV5IQQxi/Ts0HOJujmNdiwdFi3q53NKF2brJGFILaypEp+NSFFoUMN8Pz8lQapakVENz2d
JwKbopu1CUQhZ+U5ARwjxWSdT4aZkZNxzQolK4ZGJ6Qid1l0mdMZ0hufO8tuLOqDgKz01Y5jwkHA
9tCh3nE0Hw6+QDJfWEj765XRCZcCSi4dZbra6HRumpOE+hIq1Y3FwJhk0nFhTFYvTML+VoSMFegy
p73GuqzTYXYjNHu71AL3HSgEL0LYkW5sSTCMdJNoXFAo8dnVDPUXOTgFlRkyDTr1qvB/8XzV95t3
zEm2RDqhnzCtJ45e+MMEBqQXrJswz5XXC3MhnUiqzg6j0LV+SHigwjqrBAamIogfdLeAScf1SE8O
XLgyF8MYqFrnCloWX7uAoFg1XpjavS0jq/zTxTWEDL9n1peXCToAYpSI/kknXMAuQNhCi+XV6Soo
IANbp4goPr+ixZKoPTGcxIKJFicamHZtkyL3FbkOZh65bcpEP2iTcIJ0WJjZ2tkaMpXeC+fj3goF
725w8enB90+/dWS/QoFHV6P6ty+nuTKk1okkY7j65UNK9IJFxYmniECusyh6IBC7kaMKbod5cqwG
oXyizzXkCENFHoBTih4XCGe+8O72L7My9kBn3wlGPrhV62f/Op3AtUsucN4DeoTe4WeqwT4GPfOq
6yR3ur+81ybOQDOXd05oZC/1LrzP6otk61PQDaIXmWK1vkHSdJ3mcuHpJKz0eNTRYC2G0yJDcktf
3RgLwmjmIp29h0kjP0ETMDmFCSxfaI/PL6fa+8V/lFESEhI23OeFI1TdpjM5DIKeip7VzAyAZ6XQ
5xELf0k24lAvcNVjCFREXCBQrvaCclSxjlyId3QquAcwC0VAuObyC1NaMwaCllnnNMEDwEVFnaJm
DNxAyTFEOTRNwGcAxiIZZqWJ2/WoU1TjwpoYej47TpyFro7yrPDW1vNzWduaon9UP4TLgzvOXVHY
4Z3DGu6QqOusoxSuB7tzy8kByiNUjRWMUzHQ5V+7kdIbyHKJmgYTH5mjTcz5Tm8GITI7WMHAkwpl
wTlTD8hwPkMszTDz7mz4/LOVfuLOcqU7jaQPuwWoGgX/Wu2oWslrqrrkiNpntdsJsQfLXpBTM5mY
+ckS4GH6DkXQnjJM5Ngo7oBrK0AYAiLzgFm9zuJKi3trWEEyMiOGFUsT2RxqSwjjh6Ziy3dLI4SA
ECiBGc3fzymsBnXjyBnK1iSMvkKRFUuj2VyOesfGBK4/SrvxnMPPExjQZpu3+P9QTvBpqEJLfRRA
vFS8z6ZxcTtNIMn5njsTP70hDJveQR/5ml/aJuEON/RUKHFXRIi4PxDNT8UIbDesZg1VVl2l5qIc
Ujne51rwLEacPdK0qr7BHMC5KRxALwzsp+9DUiGhl0fN09OHzURHO1Pzo4d//rk2s/j87zw38n+v
H+EW3PDZFfmNeDiOHzKq4sMRsTMFusmPud0DeP/dnr3xk3c3T47wwdOn8uTKG/HdLlv76fPbTUDp
CDVb+Nob6LaF6yhtpoAFvvPy1d4bbiwUQnM333x+tzUgjrdGM6AYb2Qdr10T+THx4TzfmQFdAoZA
URZ3+c0qwED8XhYAgp2mU6CJfUCZFNpBm091ClSxEdDtJoBZfpih32sKRNqp6SKAkIWdziV986nM
gNJ7I1IVkmAbLj/K7zYDJKKaToH+BtYAQnDiDlJ+KlOgyzA59XTcPa4J4vP77QNRj9hoFchAjrqI
g5SVuTs2gNdPrhYTSPxyOzW/1wYg79Tw2fGAiE9RbC2CezvPrmlvKGwht0tso/z8docgUpFNn11+
Q7DRlEhGVp5dNWDShzWCyM7m89uteVlERxutedY2UU9U42D4367t3ddvsvS52on7VvnZmJnfyQFW
m257lj4pb0VGRLf6+vU3JKehICcetJ2a32zbCz69Zq/feENKEv9m52Tbef1y942Ix4jM7G+6+5EB
bzoFWDjoQpCFwI/aeXYsH9lhssRkPcrPb2f5QBo0fHbzDVwU5MVgDth8cGx2pgDjQPpK3H5/v2ff
Qxb/6p1fNt4gFCj0f552d9X4a8xNiRDY2Rk/u/t/wjx+j6Ag+uk9lrETd5ocCrH86Be20YP9nz9F
DgS9BNgk8vKk03SSn11dcMF/x0GXfyhCK5uxbGIK4uu/VyItZbRj54cCNb3zZeV3k71ffpqK3b52
v1V58INPtP3mqTuNrfjBKco/KZ6e8cryCd+89aex+2AFR2PLFwwwm+GJ5xfR9n8f7F4M6bvtfK71
/jT2IUbdNlSydrTQ7Dj0oLwMjs4Szwoek93mRcy46agH4UOYHP3r+XTquYH9b4e6EadH026uwjh1
pnFwdGnBbBJYh/rRsSpN+4GMa36w7Rae4didudsRircr4BdNx3s8fWS9ptPHo3HKf5Kj8NtRySkc
TJMqA4wQ9WzcWzwNHpyjG0Ll++23MPvHm/bHglhGvGwW7NHbIGU/pu7D0UV9/XY5k5s+0klm+dtW
xEsRF9ymbZ5OrfjxaRWVz3D5MAwDy9t+r7IJy5tQ0x7P3di9J8y8HXtpk1TuEU0bHjgxQra+lTw9
zrbFTQctzP/VND8aWN70MQyq61UWeLKmw79ys+m2lXLIJh5G00Y/WkFmpdm2oU27OHVN272ysrja
aht7Vkzw16kljP92iOWIuy2sjhs3fbBcNuqBw4Vg77a/g3mVnzoTb6wos47EIwAMC6aVwxGgVRsd
eFZ1znt681Y5pBLH8ryD89Lj+td0qYwtcmFHp1NvGlj/8eht8jANErJVpbG5EzsWJ+XROhpkgVOZ
M0VuYf3fhfNpbdaUNlyJOxJi1dEKEGvTqbrLlpZXecXcNJs3+4nX6yblhB9naRZUB6630MOek6no
LaycgedG0TROv3uE26kQRgGJFAnmRYpORDmjAQqmhdPwQ+Du+CeXKDXER9dZSvV/YB/aIHRKz+T6
qQ0gMKJxmdiO8UeG5JCr/z19un9xqaZFf/3nT2tSzBgRK7bU9vKwe/145vry19xe+pYTYza2c7k5
trZf/WhmN6Wrz11bBkUUZxWPpo1lemKtLVxaqJ62IyzHK+QYmhqEs9iqToKAJTduNImtqbdtpxyr
SBk2bja2FttWykZFAL5po+/CuCbrWsa2mzZ7nuWWm26HV462DUN7Mb23gioQA4TetpvXr9trv7YM
BMKh6Ry8B6cSb5spp6CN+8TYyh7do7exdV91kcugZNMhjw9ThZYom9fP7pPRF2M+GvmuuKJWbESZ
TW469E/TJD3qW8F8d8ZLXHHTln/AGNBwUq7CIxbdvyRHdWe8lJlpOuaTkGaRbL5/xP8jTlXZihpr
pYVNg5zg/aEzG2cB8EavBeP09j47usySijv11HoLtv8/347Go9uPo+F/ORKLR8QY9tY/yHR8DxWw
vshRi0TtixP31/kfIOkBTDX1P57xVf6iUOuAGF81FtqGzT+Jp3AE127ComS56d67nK7ch3DbTmn4
hbR502Y317wbQtLxdBNIchfZlMzJtmnRE3Ul2y8b2+tNEHHbXNm61sKxOGAiYss7egqgV9oHZ/vc
xubU+KlIwYC48P39tHamgx+hGPK5QNKm/b9uA1Mw/E+4fd96NqmSihFvYRm9DWzOuN3V86Jlfvn+
AidkkmNtdpsVEJ+me7c/DaqXLVHn3rhRIoTBo7ttSGxQtYVmB471uNumJm+/er1FuZ1G2b1H2J6M
BNH8owHRnYqFFHURTedjOPXDB5xLunm5vxZW4IA8YBxW7e/L7sHLi3BAii4OsUWbCRHvVZQAN52e
73b32yZvuZ2jbctlPy3EOwdWND36OI0fp5WWW7gAD2fuPdmgyoo3njsvfvK4GNlFlO4OVmA7m043
nPxWGmL3vAPh6pejWC8vk1HspnE1Ct5GQmOUOsjeVc21qFBoOh93bPsTy6/dWtvIC5xY99VN2G3h
9Z04tWNAcDY0nYMDeQupjZ39x/9Kp0eP/3K2pG68suuATzcf9fk0KKonouCCaToXF+593SugyrKF
dqdJmDqVw0UWLCwtjLc2C21AGS652NhW8lALFLVxjFxaEPKn1eWgt7CRL0kf5hUbLLeR4aDZWqMt
7OJLDtKH2l2sjdDHJdlZF3XByiEti/Lypsts07JVz3+3ccxdhmthf7k0bocpjnwI+Ldfvt6/u3Jx
8bfNlK22cWSUrVZPIqSFtt28frQbM0w5fJLU870tGIrbP/6RBbVqQSp5mg/7lptJNQyCXmTzZsfT
4sGZel4tJivqoZsu5hK7c/S2dDi3rYnVQcXL9svXv8XxNJjaViXNAp66hXZFhMU6upiGQWWjoBje
QuOhj52rnKaQjrTQ7mEV9YYxarR8KgcppLgtDPWP/xEe3YX+H/8oo1g38R//M3hwo+pctwFXIj7t
1nBvwM6bP8CdFazrBhodv+YNf7D3NrggJmu6C/tZPIe08ujYSqpvU1SyN20cMKxb8+mhImje7og4
TOoGFZegZEhuOuCve3cQ+H6aj/er699b93l1FbeRRdzY0PHe/hY4/KZzgT7L0R3OXMWIku1o3vLb
+2JaeXemYLKm4FeQNpBNEZTWL/Xy18VhVaitpJ+KxGJgA97CHoijmkQJH4hFv/A7vwWmfe+kFhHp
2jJ7euSfjK18R+xWzjzYN/de/y+2W7fsEJI1G+koi8PqKQQadz/4+WvDLKHqB1MdZa6u2dRmpHb3
vAlSKA0n4slr29Q3bOdUuG0QPvX2bMOvzce12AlV/+dQuUijebkBd2HXEcQGMDKoaSCLgSXHBNqm
P3e95F73U4km1oxVW4gGKsUloa2GlStJDp47ZX+2o77libj2fkrOhIuPxDSklDwfJXMUVW5f2QHX
+me7uySIEoUpZ3tl2wqeth5cRnDKySbEO9DztdGZZTvx9H7bklhpVIfC3Ej1kCiA7lEwJYrBfnja
/exTfU8LAiIWNQUi+cvfbtoV3Qo+FlQbIK6GwkhQcj0bL9l0+9edUofeRtPk/+7TiPVDmdbut0bs
9nRbM/bMj1oEVW6McNPnqp7Hv8VZ6wFlq26vPdua7XIP/ZRBehs8QiJf2bQt3OPfipOmOlbBNf3D
DfmT1rM/9Ww3q1TctAFp7IcJE1teLk+n8Xpqh0uuP9vhlvGH52zkzw/eqmFd9z2QX3+B/cyzRVXb
7nDVFoY7nAa+FVfAcaXujdjQxYGT4idn4SwG/V8tJmkjnjhKwKRXJ6GNCqDBevrg1JptYW5RFaxP
QhtY+WMrDqeHAHbPnro/+eKOAT4/THdXWbeFHX2CTDKeSjWb0WshhnECD1yQTIvdAQsC/6Ym6IQ6
WyuoNtvGPIAtq85uGwHgQRwSE6mYBu7RzSfhNKPWJq5MArxDzds9e9gzDnIbEdqz1PKqoxUkKk2X
wrtpXFtg0FC00Cw4XFJxVc2xkoy86YAvLKQ0q6uhjXDhhZs6Wd01gT65+VSMvXBpzetDbmGOL1zs
ekrZWzqtwqzkNkKcF9lq6gM8ie3tFAgfQtaeu0D+pBW+DL1H5qTSbhuV65dUGNfTni1sEXK0aXWw
bYROf3AZg/xqOy+v90+Iv+RW1Va0cTRT9F7zeuBsaT7aG4gNslpOC5GG5g3fknaq+VNKG8gTsaOB
NlbWBEoLzQc8Lq1mTH3gtq3Sb2/j1jGOaoVvJV1xU2M8prD0nkr/ynAFKXvjhnNYHaoY7zYuSePc
TdebEMh2jOUMt3HkfZiL2sKKc6m0cX582BSPnlMr+hhWr437Yersl+/OHwV0lHU34EZUmZNno0A/
bekDDqipHVcXdBu3mvE0rmfg2gACUsY/LRlEajB6eEvbMcypg2P0cIDsQfDgb1/A603/eZiEy8ps
U8eswSnXvOk//psw/4euZnCvywjToTehdinkEhJHL3V3KL7254TWYJmi3KJpaG13/C+HDDe41kqZ
9XYAzxUWEypy1zWL8tLEvgyhHYSQIxzdsuu3bQkb2Er62oMXyltaRON2mzZbOBohqUmnoEgqY95P
p/26/TsNg0eRz9gdMNV22y9fvxOvmODYsrPKiNGhbN7yDSBdv9rsy1GB3QU7egpo/0kbTiQpt8v9
tfwAv2Eo+5sNWrokGtm+UrGPWvBb3+Ki3FvurHoEtRCyexujAl71W1u4zlF+bHvW4zRxduehDZfq
srBE/LbSbBsDRtq6OrdtAKT61CVV0R9qC2Ol3OY+fKy+szbiHePYFWxi84oZacOfZINX0w5tBCMw
0vbRufjX+O3t7nKQ28CCnpE+2iNzk9vgCaLl6qtDW3k7/NefLO+sqLp8kV5t3up5EaPKI3iTtm0J
cwZ6afvl6we8wYOch7XCHZS0mre9wW0caLuFgPY5FCxzZ39KWtjXF1a11g3PuflccLGwwr0torcw
y4TWKDytreU2XEaCa4/usorCRumsjbnwrKKGUkElqnnDV9Ooir+W22CxvMFXJHFw6HZVyqM1Dajc
EILeW8ht5KhuYNWFT4vIR8WFfh678pPhgzExDyvCbGzfWhmskVtYHXeO5daDmYrSwuq4s2bu/kwD
A90+wuut6J3lUguxbaecijY8jDuA0sItrK8OpQ2L9GF9Pz0wHW1kET6605R7UGU+2jB116A+wuXR
WUqheXT0t6MR9axhmj3tzN3uULWWWlgyTx2ew6CXOGCT/3a0/V/3UKcI3bbgQ4wjasa94pC9AVrX
hu9z6T4+EksbWUm6O2kburgfB4ixIj+F+XmatbHjzoHsBcza9//dUHHudgrwFuTei0Gpl2MnHFdW
YfGCYtf7P//1vydz8dUJWoJQTf7t6JSaXN/avrWKPSToZKhtVGTeudTJdy4Edc/uE5ooEyMZs/3W
660MBUZza75d7snfhq4VFtyX3KP38C5Y1dAicq+lkm/T02kYzh9DJvDOmnONdKvBDSRRQHm28PLO
rQyS4AoaSJaI9aC60XzebqyO53YeANp0kiTbtle60Js+WggpkR+yD7Tcgg26sKIUutYDjb94cP11
gaUST/9PGFja0n1X7ub6yzHJv+5NHEIuN30xu08jzNnvAMp94lL6cx/tlcmDt3F2X1lBLVwDqWtx
iWiXKNO+Fd/XxRq29uP1xw8ER5nrVcP8bTj8YrTkJSpnchv5NkHwAa0s8fhK020EZAZWAX7hkIfW
hvs8qK2ONtgMhqFP8WI1r9SGs7ptN/hOcbRdaOJ8bSNaAC1enW2vDWgLWatHyOqyaoXVfjnRK9JW
EM26u7Mgt+H8vWMd194fsj3bbl6/q2GDF2WtdRKGNgieiEyliahdr9wyEBptPuob4LdpKDKlFa8X
TfHmbW94Dc/dNN0wqF9Nl27VgrRxtdz0cpE9VCN3SiuWD5yS+2g9lofBXXhP9dl2WsrYhFAUb3ov
ELGJzfwMWJeo7BxQWUAss3lHm4n66IIOR1VAwBwEYdvGKuyFttqgwOkLJpXEOfroxrZ70MjDwdr8
uT6Mn+2hhYXcB3RZ419S2kj4D0jKE83eTkG5pNqgVxlbVa9IEWJ0Tdcpgcr0aES9EGCqrLqN26Bu
2axOXJjU+eMf3tQvtiMWs6K3AS4vH+DSoocq6o7a9TZi5psH2JwCR/+6qcL4t92HUKk8fPGCvHsj
GP25EIayvrip2/8bYhhEiVu9mLoNJCsZv2+ht9UR233TBkg6CGl7SMHLWhedjZd56/66976p/f4n
fO+xLUxeNVHfRtC3T5KwVp7RBm6yH1vrKl9HG5w8A1JXlSBqG/HZgRAbrCFT20hLjB64S1RxdW3w
az/pzUEOVmN+bKMO4djy5j/EjLbgtZ1kAISqMY5nS+Z/MrUwJrpPZqmyNOQ2yg9FkpfwSeX4ltuQ
8LuZ1mXTWogJf4iz+mCVNnbIRxDhazjcKy8O+oHtKfGja+ZfdwwcotFoeijsPs3vEd48xOHx5z7l
KyOdJ9OQS1RlOXVfTFu8nOu7zZIafkRpI8Zy98f/hpmsqFgXGFp+39V/iGzlz10Xu3tl6/jvCDhX
BvNLP3+6+Ilr1CEWlErDT5v0GSd+j+tqd9wt7PHd5g485lOC5MFDe/Xv/xcAAP//</cx:binary>
              </cx:geoCache>
            </cx:geography>
          </cx:layoutPr>
        </cx:series>
      </cx:plotAreaRegion>
    </cx:plotArea>
  </cx:chart>
  <cx:spPr>
    <a:noFill/>
    <a:ln>
      <a:noFill/>
    </a:ln>
  </cx:spPr>
</cx: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2.sv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5" Type="http://schemas.microsoft.com/office/2014/relationships/chartEx" Target="../charts/chartEx1.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123568</xdr:colOff>
      <xdr:row>1</xdr:row>
      <xdr:rowOff>152400</xdr:rowOff>
    </xdr:from>
    <xdr:to>
      <xdr:col>28</xdr:col>
      <xdr:colOff>215659</xdr:colOff>
      <xdr:row>6</xdr:row>
      <xdr:rowOff>7620</xdr:rowOff>
    </xdr:to>
    <xdr:sp macro="" textlink="">
      <xdr:nvSpPr>
        <xdr:cNvPr id="2" name="Rectangle: Rounded Corners 1">
          <a:extLst>
            <a:ext uri="{FF2B5EF4-FFF2-40B4-BE49-F238E27FC236}">
              <a16:creationId xmlns:a16="http://schemas.microsoft.com/office/drawing/2014/main" id="{EFB49460-CD1D-F1CD-F02D-5934EBE6F2B8}"/>
            </a:ext>
          </a:extLst>
        </xdr:cNvPr>
        <xdr:cNvSpPr/>
      </xdr:nvSpPr>
      <xdr:spPr>
        <a:xfrm>
          <a:off x="123568" y="339306"/>
          <a:ext cx="16999865" cy="789748"/>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r>
            <a:rPr lang="en-GB" sz="4000" b="1">
              <a:solidFill>
                <a:schemeClr val="accent1">
                  <a:lumMod val="50000"/>
                </a:schemeClr>
              </a:solidFill>
            </a:rPr>
            <a:t>Sales Dashboard</a:t>
          </a:r>
        </a:p>
      </xdr:txBody>
    </xdr:sp>
    <xdr:clientData/>
  </xdr:twoCellAnchor>
  <xdr:twoCellAnchor>
    <xdr:from>
      <xdr:col>0</xdr:col>
      <xdr:colOff>164756</xdr:colOff>
      <xdr:row>6</xdr:row>
      <xdr:rowOff>85262</xdr:rowOff>
    </xdr:from>
    <xdr:to>
      <xdr:col>3</xdr:col>
      <xdr:colOff>411891</xdr:colOff>
      <xdr:row>19</xdr:row>
      <xdr:rowOff>14377</xdr:rowOff>
    </xdr:to>
    <xdr:sp macro="" textlink="">
      <xdr:nvSpPr>
        <xdr:cNvPr id="3" name="Rectangle: Rounded Corners 2">
          <a:extLst>
            <a:ext uri="{FF2B5EF4-FFF2-40B4-BE49-F238E27FC236}">
              <a16:creationId xmlns:a16="http://schemas.microsoft.com/office/drawing/2014/main" id="{EA656363-C2C0-41CF-949A-202B1F0CA2E4}"/>
            </a:ext>
          </a:extLst>
        </xdr:cNvPr>
        <xdr:cNvSpPr/>
      </xdr:nvSpPr>
      <xdr:spPr>
        <a:xfrm>
          <a:off x="164756" y="1206696"/>
          <a:ext cx="2058682" cy="2358889"/>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0</xdr:col>
      <xdr:colOff>158151</xdr:colOff>
      <xdr:row>19</xdr:row>
      <xdr:rowOff>129396</xdr:rowOff>
    </xdr:from>
    <xdr:to>
      <xdr:col>3</xdr:col>
      <xdr:colOff>365126</xdr:colOff>
      <xdr:row>50</xdr:row>
      <xdr:rowOff>57509</xdr:rowOff>
    </xdr:to>
    <xdr:sp macro="" textlink="">
      <xdr:nvSpPr>
        <xdr:cNvPr id="4" name="Rectangle: Rounded Corners 3">
          <a:extLst>
            <a:ext uri="{FF2B5EF4-FFF2-40B4-BE49-F238E27FC236}">
              <a16:creationId xmlns:a16="http://schemas.microsoft.com/office/drawing/2014/main" id="{FA440885-1355-48F2-BD54-9A6054CFCFE4}"/>
            </a:ext>
          </a:extLst>
        </xdr:cNvPr>
        <xdr:cNvSpPr/>
      </xdr:nvSpPr>
      <xdr:spPr>
        <a:xfrm>
          <a:off x="158151" y="3680604"/>
          <a:ext cx="2018522" cy="5722188"/>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186905</xdr:colOff>
      <xdr:row>7</xdr:row>
      <xdr:rowOff>22860</xdr:rowOff>
    </xdr:from>
    <xdr:to>
      <xdr:col>10</xdr:col>
      <xdr:colOff>517583</xdr:colOff>
      <xdr:row>11</xdr:row>
      <xdr:rowOff>71888</xdr:rowOff>
    </xdr:to>
    <xdr:sp macro="" textlink="">
      <xdr:nvSpPr>
        <xdr:cNvPr id="6" name="Rectangle: Rounded Corners 5">
          <a:extLst>
            <a:ext uri="{FF2B5EF4-FFF2-40B4-BE49-F238E27FC236}">
              <a16:creationId xmlns:a16="http://schemas.microsoft.com/office/drawing/2014/main" id="{1C874770-908F-43A2-AFE3-4EC7A1310084}"/>
            </a:ext>
          </a:extLst>
        </xdr:cNvPr>
        <xdr:cNvSpPr/>
      </xdr:nvSpPr>
      <xdr:spPr>
        <a:xfrm>
          <a:off x="3809999" y="1331200"/>
          <a:ext cx="2746075" cy="796650"/>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ctr"/>
          <a:endParaRPr lang="en-GB" sz="1200" b="1">
            <a:solidFill>
              <a:schemeClr val="accent1">
                <a:lumMod val="50000"/>
              </a:schemeClr>
            </a:solidFill>
          </a:endParaRPr>
        </a:p>
        <a:p>
          <a:pPr algn="l"/>
          <a:endParaRPr lang="en-GB" sz="1100"/>
        </a:p>
      </xdr:txBody>
    </xdr:sp>
    <xdr:clientData/>
  </xdr:twoCellAnchor>
  <xdr:twoCellAnchor>
    <xdr:from>
      <xdr:col>11</xdr:col>
      <xdr:colOff>402567</xdr:colOff>
      <xdr:row>7</xdr:row>
      <xdr:rowOff>74602</xdr:rowOff>
    </xdr:from>
    <xdr:to>
      <xdr:col>16</xdr:col>
      <xdr:colOff>258794</xdr:colOff>
      <xdr:row>11</xdr:row>
      <xdr:rowOff>42568</xdr:rowOff>
    </xdr:to>
    <xdr:sp macro="" textlink="">
      <xdr:nvSpPr>
        <xdr:cNvPr id="7" name="Rectangle: Rounded Corners 6">
          <a:extLst>
            <a:ext uri="{FF2B5EF4-FFF2-40B4-BE49-F238E27FC236}">
              <a16:creationId xmlns:a16="http://schemas.microsoft.com/office/drawing/2014/main" id="{8B36DA8F-2493-44EC-A244-4A5D66567EC4}"/>
            </a:ext>
          </a:extLst>
        </xdr:cNvPr>
        <xdr:cNvSpPr/>
      </xdr:nvSpPr>
      <xdr:spPr>
        <a:xfrm>
          <a:off x="7044907" y="1382942"/>
          <a:ext cx="2875472" cy="715588"/>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17</xdr:col>
      <xdr:colOff>100642</xdr:colOff>
      <xdr:row>7</xdr:row>
      <xdr:rowOff>100641</xdr:rowOff>
    </xdr:from>
    <xdr:to>
      <xdr:col>21</xdr:col>
      <xdr:colOff>101615</xdr:colOff>
      <xdr:row>11</xdr:row>
      <xdr:rowOff>100641</xdr:rowOff>
    </xdr:to>
    <xdr:sp macro="" textlink="">
      <xdr:nvSpPr>
        <xdr:cNvPr id="8" name="Rectangle: Rounded Corners 7">
          <a:extLst>
            <a:ext uri="{FF2B5EF4-FFF2-40B4-BE49-F238E27FC236}">
              <a16:creationId xmlns:a16="http://schemas.microsoft.com/office/drawing/2014/main" id="{BE6ABE2D-7378-4B3D-A2E7-D99D18001841}"/>
            </a:ext>
          </a:extLst>
        </xdr:cNvPr>
        <xdr:cNvSpPr/>
      </xdr:nvSpPr>
      <xdr:spPr>
        <a:xfrm>
          <a:off x="10366076" y="1408981"/>
          <a:ext cx="2416369" cy="747622"/>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22</xdr:col>
      <xdr:colOff>14376</xdr:colOff>
      <xdr:row>7</xdr:row>
      <xdr:rowOff>901</xdr:rowOff>
    </xdr:from>
    <xdr:to>
      <xdr:col>28</xdr:col>
      <xdr:colOff>316300</xdr:colOff>
      <xdr:row>31</xdr:row>
      <xdr:rowOff>0</xdr:rowOff>
    </xdr:to>
    <xdr:sp macro="" textlink="">
      <xdr:nvSpPr>
        <xdr:cNvPr id="9" name="Rectangle: Rounded Corners 8">
          <a:extLst>
            <a:ext uri="{FF2B5EF4-FFF2-40B4-BE49-F238E27FC236}">
              <a16:creationId xmlns:a16="http://schemas.microsoft.com/office/drawing/2014/main" id="{10798E69-8F2F-4AD9-A33E-201BBAEA6FBF}"/>
            </a:ext>
          </a:extLst>
        </xdr:cNvPr>
        <xdr:cNvSpPr/>
      </xdr:nvSpPr>
      <xdr:spPr>
        <a:xfrm>
          <a:off x="13299055" y="1309241"/>
          <a:ext cx="3925019" cy="4484834"/>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noFill/>
          </a:endParaRPr>
        </a:p>
      </xdr:txBody>
    </xdr:sp>
    <xdr:clientData/>
  </xdr:twoCellAnchor>
  <xdr:twoCellAnchor>
    <xdr:from>
      <xdr:col>4</xdr:col>
      <xdr:colOff>22149</xdr:colOff>
      <xdr:row>13</xdr:row>
      <xdr:rowOff>14377</xdr:rowOff>
    </xdr:from>
    <xdr:to>
      <xdr:col>12</xdr:col>
      <xdr:colOff>546340</xdr:colOff>
      <xdr:row>29</xdr:row>
      <xdr:rowOff>57511</xdr:rowOff>
    </xdr:to>
    <xdr:sp macro="" textlink="">
      <xdr:nvSpPr>
        <xdr:cNvPr id="10" name="Rectangle: Rounded Corners 9">
          <a:extLst>
            <a:ext uri="{FF2B5EF4-FFF2-40B4-BE49-F238E27FC236}">
              <a16:creationId xmlns:a16="http://schemas.microsoft.com/office/drawing/2014/main" id="{B6E1D051-0BD5-4E4C-A862-602EA07C8639}"/>
            </a:ext>
          </a:extLst>
        </xdr:cNvPr>
        <xdr:cNvSpPr/>
      </xdr:nvSpPr>
      <xdr:spPr>
        <a:xfrm>
          <a:off x="2437545" y="2444151"/>
          <a:ext cx="5354984" cy="3033624"/>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143773</xdr:colOff>
      <xdr:row>12</xdr:row>
      <xdr:rowOff>55759</xdr:rowOff>
    </xdr:from>
    <xdr:to>
      <xdr:col>21</xdr:col>
      <xdr:colOff>388189</xdr:colOff>
      <xdr:row>29</xdr:row>
      <xdr:rowOff>143774</xdr:rowOff>
    </xdr:to>
    <xdr:sp macro="" textlink="">
      <xdr:nvSpPr>
        <xdr:cNvPr id="12" name="Rectangle: Rounded Corners 11">
          <a:extLst>
            <a:ext uri="{FF2B5EF4-FFF2-40B4-BE49-F238E27FC236}">
              <a16:creationId xmlns:a16="http://schemas.microsoft.com/office/drawing/2014/main" id="{FF93D199-62E6-470F-A635-96F3B1BE8555}"/>
            </a:ext>
          </a:extLst>
        </xdr:cNvPr>
        <xdr:cNvSpPr/>
      </xdr:nvSpPr>
      <xdr:spPr>
        <a:xfrm>
          <a:off x="7993811" y="2298627"/>
          <a:ext cx="5075208" cy="3265411"/>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3</xdr:col>
      <xdr:colOff>594914</xdr:colOff>
      <xdr:row>31</xdr:row>
      <xdr:rowOff>28756</xdr:rowOff>
    </xdr:from>
    <xdr:to>
      <xdr:col>12</xdr:col>
      <xdr:colOff>575095</xdr:colOff>
      <xdr:row>50</xdr:row>
      <xdr:rowOff>143774</xdr:rowOff>
    </xdr:to>
    <xdr:sp macro="" textlink="">
      <xdr:nvSpPr>
        <xdr:cNvPr id="13" name="Rectangle: Rounded Corners 12">
          <a:extLst>
            <a:ext uri="{FF2B5EF4-FFF2-40B4-BE49-F238E27FC236}">
              <a16:creationId xmlns:a16="http://schemas.microsoft.com/office/drawing/2014/main" id="{CB7C8D87-DFEB-406B-A7DE-CD8585A152E3}"/>
            </a:ext>
          </a:extLst>
        </xdr:cNvPr>
        <xdr:cNvSpPr/>
      </xdr:nvSpPr>
      <xdr:spPr>
        <a:xfrm>
          <a:off x="2406461" y="5822831"/>
          <a:ext cx="5414823" cy="3666226"/>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13</xdr:col>
      <xdr:colOff>203008</xdr:colOff>
      <xdr:row>31</xdr:row>
      <xdr:rowOff>86264</xdr:rowOff>
    </xdr:from>
    <xdr:to>
      <xdr:col>21</xdr:col>
      <xdr:colOff>230038</xdr:colOff>
      <xdr:row>51</xdr:row>
      <xdr:rowOff>129395</xdr:rowOff>
    </xdr:to>
    <xdr:sp macro="" textlink="">
      <xdr:nvSpPr>
        <xdr:cNvPr id="14" name="Rectangle: Rounded Corners 13">
          <a:extLst>
            <a:ext uri="{FF2B5EF4-FFF2-40B4-BE49-F238E27FC236}">
              <a16:creationId xmlns:a16="http://schemas.microsoft.com/office/drawing/2014/main" id="{5556F2D5-7CCE-4034-9092-3B96DF14B2AA}"/>
            </a:ext>
          </a:extLst>
        </xdr:cNvPr>
        <xdr:cNvSpPr/>
      </xdr:nvSpPr>
      <xdr:spPr>
        <a:xfrm>
          <a:off x="8053046" y="5880339"/>
          <a:ext cx="4857822" cy="3781245"/>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21</xdr:col>
      <xdr:colOff>572649</xdr:colOff>
      <xdr:row>31</xdr:row>
      <xdr:rowOff>143773</xdr:rowOff>
    </xdr:from>
    <xdr:to>
      <xdr:col>28</xdr:col>
      <xdr:colOff>345056</xdr:colOff>
      <xdr:row>51</xdr:row>
      <xdr:rowOff>57508</xdr:rowOff>
    </xdr:to>
    <xdr:sp macro="" textlink="">
      <xdr:nvSpPr>
        <xdr:cNvPr id="15" name="Rectangle: Rounded Corners 14">
          <a:extLst>
            <a:ext uri="{FF2B5EF4-FFF2-40B4-BE49-F238E27FC236}">
              <a16:creationId xmlns:a16="http://schemas.microsoft.com/office/drawing/2014/main" id="{50D96A9D-E147-4E9B-A4EC-F93969DDAC23}"/>
            </a:ext>
          </a:extLst>
        </xdr:cNvPr>
        <xdr:cNvSpPr/>
      </xdr:nvSpPr>
      <xdr:spPr>
        <a:xfrm>
          <a:off x="13253479" y="5937848"/>
          <a:ext cx="3999351" cy="3651849"/>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clientData/>
  </xdr:twoCellAnchor>
  <xdr:twoCellAnchor>
    <xdr:from>
      <xdr:col>6</xdr:col>
      <xdr:colOff>480590</xdr:colOff>
      <xdr:row>7</xdr:row>
      <xdr:rowOff>15113</xdr:rowOff>
    </xdr:from>
    <xdr:to>
      <xdr:col>10</xdr:col>
      <xdr:colOff>115019</xdr:colOff>
      <xdr:row>8</xdr:row>
      <xdr:rowOff>158152</xdr:rowOff>
    </xdr:to>
    <xdr:sp macro="" textlink="">
      <xdr:nvSpPr>
        <xdr:cNvPr id="16" name="TextBox 15">
          <a:extLst>
            <a:ext uri="{FF2B5EF4-FFF2-40B4-BE49-F238E27FC236}">
              <a16:creationId xmlns:a16="http://schemas.microsoft.com/office/drawing/2014/main" id="{A7D163C5-86DE-00AD-9CF4-03CAF99371FA}"/>
            </a:ext>
          </a:extLst>
        </xdr:cNvPr>
        <xdr:cNvSpPr txBox="1"/>
      </xdr:nvSpPr>
      <xdr:spPr>
        <a:xfrm>
          <a:off x="4103684" y="1323453"/>
          <a:ext cx="2049826" cy="32994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400" b="1">
              <a:ln>
                <a:noFill/>
              </a:ln>
              <a:solidFill>
                <a:schemeClr val="accent1">
                  <a:lumMod val="50000"/>
                </a:schemeClr>
              </a:solidFill>
              <a:latin typeface="+mn-lt"/>
              <a:ea typeface="+mn-ea"/>
              <a:cs typeface="+mn-cs"/>
            </a:rPr>
            <a:t>Total</a:t>
          </a:r>
          <a:r>
            <a:rPr lang="en-GB" sz="2400" b="1">
              <a:ln>
                <a:noFill/>
              </a:ln>
              <a:solidFill>
                <a:schemeClr val="dk1"/>
              </a:solidFill>
              <a:effectLst/>
              <a:latin typeface="+mn-lt"/>
              <a:ea typeface="+mn-ea"/>
              <a:cs typeface="+mn-cs"/>
            </a:rPr>
            <a:t> </a:t>
          </a:r>
          <a:r>
            <a:rPr lang="en-GB" sz="2400" b="1">
              <a:ln>
                <a:noFill/>
              </a:ln>
              <a:solidFill>
                <a:schemeClr val="accent1">
                  <a:lumMod val="50000"/>
                </a:schemeClr>
              </a:solidFill>
              <a:latin typeface="+mn-lt"/>
              <a:ea typeface="+mn-ea"/>
              <a:cs typeface="+mn-cs"/>
            </a:rPr>
            <a:t>Sales</a:t>
          </a:r>
        </a:p>
        <a:p>
          <a:pPr algn="ctr"/>
          <a:endParaRPr lang="en-GB" sz="1200">
            <a:ln>
              <a:noFill/>
            </a:ln>
            <a:noFill/>
          </a:endParaRPr>
        </a:p>
      </xdr:txBody>
    </xdr:sp>
    <xdr:clientData/>
  </xdr:twoCellAnchor>
  <xdr:twoCellAnchor>
    <xdr:from>
      <xdr:col>10</xdr:col>
      <xdr:colOff>532459</xdr:colOff>
      <xdr:row>7</xdr:row>
      <xdr:rowOff>165463</xdr:rowOff>
    </xdr:from>
    <xdr:to>
      <xdr:col>16</xdr:col>
      <xdr:colOff>503208</xdr:colOff>
      <xdr:row>9</xdr:row>
      <xdr:rowOff>28753</xdr:rowOff>
    </xdr:to>
    <xdr:sp macro="" textlink="">
      <xdr:nvSpPr>
        <xdr:cNvPr id="18" name="TextBox 17">
          <a:extLst>
            <a:ext uri="{FF2B5EF4-FFF2-40B4-BE49-F238E27FC236}">
              <a16:creationId xmlns:a16="http://schemas.microsoft.com/office/drawing/2014/main" id="{CEAD4C78-FB6C-4D6A-BCD4-F59C342BFD7E}"/>
            </a:ext>
          </a:extLst>
        </xdr:cNvPr>
        <xdr:cNvSpPr txBox="1"/>
      </xdr:nvSpPr>
      <xdr:spPr>
        <a:xfrm>
          <a:off x="6570950" y="1473803"/>
          <a:ext cx="3593843" cy="2371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400" b="1">
              <a:ln>
                <a:noFill/>
              </a:ln>
              <a:solidFill>
                <a:schemeClr val="accent1">
                  <a:lumMod val="50000"/>
                </a:schemeClr>
              </a:solidFill>
              <a:latin typeface="+mn-lt"/>
              <a:ea typeface="+mn-ea"/>
              <a:cs typeface="+mn-cs"/>
            </a:rPr>
            <a:t>Total</a:t>
          </a:r>
          <a:r>
            <a:rPr lang="en-GB" sz="2400" b="1">
              <a:ln>
                <a:noFill/>
              </a:ln>
              <a:solidFill>
                <a:schemeClr val="dk1"/>
              </a:solidFill>
              <a:effectLst/>
              <a:latin typeface="+mn-lt"/>
              <a:ea typeface="+mn-ea"/>
              <a:cs typeface="+mn-cs"/>
            </a:rPr>
            <a:t> </a:t>
          </a:r>
          <a:r>
            <a:rPr lang="en-GB" sz="2400" b="1">
              <a:ln>
                <a:noFill/>
              </a:ln>
              <a:solidFill>
                <a:schemeClr val="accent1">
                  <a:lumMod val="50000"/>
                </a:schemeClr>
              </a:solidFill>
              <a:latin typeface="+mn-lt"/>
              <a:ea typeface="+mn-ea"/>
              <a:cs typeface="+mn-cs"/>
            </a:rPr>
            <a:t>Profit</a:t>
          </a:r>
        </a:p>
        <a:p>
          <a:pPr algn="ctr"/>
          <a:endParaRPr lang="en-GB" sz="1200">
            <a:ln>
              <a:noFill/>
            </a:ln>
            <a:noFill/>
          </a:endParaRPr>
        </a:p>
      </xdr:txBody>
    </xdr:sp>
    <xdr:clientData/>
  </xdr:twoCellAnchor>
  <xdr:twoCellAnchor>
    <xdr:from>
      <xdr:col>17</xdr:col>
      <xdr:colOff>120541</xdr:colOff>
      <xdr:row>7</xdr:row>
      <xdr:rowOff>128126</xdr:rowOff>
    </xdr:from>
    <xdr:to>
      <xdr:col>21</xdr:col>
      <xdr:colOff>158151</xdr:colOff>
      <xdr:row>9</xdr:row>
      <xdr:rowOff>86263</xdr:rowOff>
    </xdr:to>
    <xdr:sp macro="" textlink="">
      <xdr:nvSpPr>
        <xdr:cNvPr id="19" name="TextBox 18">
          <a:extLst>
            <a:ext uri="{FF2B5EF4-FFF2-40B4-BE49-F238E27FC236}">
              <a16:creationId xmlns:a16="http://schemas.microsoft.com/office/drawing/2014/main" id="{A93051FD-A8E3-4A47-AD22-7EF5834F8C0E}"/>
            </a:ext>
          </a:extLst>
        </xdr:cNvPr>
        <xdr:cNvSpPr txBox="1"/>
      </xdr:nvSpPr>
      <xdr:spPr>
        <a:xfrm>
          <a:off x="10385975" y="1436466"/>
          <a:ext cx="2453006" cy="331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800" b="1">
              <a:ln>
                <a:noFill/>
              </a:ln>
              <a:solidFill>
                <a:schemeClr val="accent1">
                  <a:lumMod val="50000"/>
                </a:schemeClr>
              </a:solidFill>
              <a:latin typeface="+mn-lt"/>
              <a:ea typeface="+mn-ea"/>
              <a:cs typeface="+mn-cs"/>
            </a:rPr>
            <a:t>Profit </a:t>
          </a:r>
          <a:r>
            <a:rPr lang="en-GB" sz="2800" b="1" i="0">
              <a:solidFill>
                <a:schemeClr val="accent1">
                  <a:lumMod val="50000"/>
                </a:schemeClr>
              </a:solidFill>
              <a:effectLst/>
              <a:latin typeface="+mn-lt"/>
              <a:ea typeface="+mn-ea"/>
              <a:cs typeface="+mn-cs"/>
            </a:rPr>
            <a:t>%</a:t>
          </a:r>
          <a:endParaRPr lang="en-GB" sz="2800" b="1">
            <a:ln>
              <a:noFill/>
            </a:ln>
            <a:solidFill>
              <a:schemeClr val="accent1">
                <a:lumMod val="50000"/>
              </a:schemeClr>
            </a:solidFill>
            <a:latin typeface="+mn-lt"/>
            <a:ea typeface="+mn-ea"/>
            <a:cs typeface="+mn-cs"/>
          </a:endParaRPr>
        </a:p>
        <a:p>
          <a:pPr algn="ctr"/>
          <a:endParaRPr lang="en-GB" sz="2800">
            <a:ln>
              <a:noFill/>
            </a:ln>
            <a:noFill/>
          </a:endParaRPr>
        </a:p>
      </xdr:txBody>
    </xdr:sp>
    <xdr:clientData/>
  </xdr:twoCellAnchor>
  <xdr:twoCellAnchor>
    <xdr:from>
      <xdr:col>7</xdr:col>
      <xdr:colOff>274141</xdr:colOff>
      <xdr:row>8</xdr:row>
      <xdr:rowOff>164224</xdr:rowOff>
    </xdr:from>
    <xdr:to>
      <xdr:col>9</xdr:col>
      <xdr:colOff>560716</xdr:colOff>
      <xdr:row>10</xdr:row>
      <xdr:rowOff>158151</xdr:rowOff>
    </xdr:to>
    <xdr:sp macro="" textlink="Sheet2!A5">
      <xdr:nvSpPr>
        <xdr:cNvPr id="20" name="TextBox 19">
          <a:extLst>
            <a:ext uri="{FF2B5EF4-FFF2-40B4-BE49-F238E27FC236}">
              <a16:creationId xmlns:a16="http://schemas.microsoft.com/office/drawing/2014/main" id="{19A57C9E-3A37-2AE7-1363-0AE7CCDDAA8E}"/>
            </a:ext>
          </a:extLst>
        </xdr:cNvPr>
        <xdr:cNvSpPr txBox="1"/>
      </xdr:nvSpPr>
      <xdr:spPr>
        <a:xfrm>
          <a:off x="4501084" y="1659469"/>
          <a:ext cx="1494274" cy="3677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B59D166D-8731-4ECF-A25C-7C689177C88A}" type="TxLink">
            <a:rPr lang="en-US" sz="2000" b="1" i="0" u="none" strike="noStrike">
              <a:solidFill>
                <a:schemeClr val="accent1">
                  <a:lumMod val="50000"/>
                </a:schemeClr>
              </a:solidFill>
              <a:latin typeface="Arial"/>
              <a:ea typeface="+mn-ea"/>
              <a:cs typeface="Arial"/>
            </a:rPr>
            <a:pPr marL="0" indent="0"/>
            <a:t> 1,441,435 </a:t>
          </a:fld>
          <a:endParaRPr lang="en-GB" sz="2000" b="1" i="0" u="none" strike="noStrike">
            <a:solidFill>
              <a:schemeClr val="accent1">
                <a:lumMod val="50000"/>
              </a:schemeClr>
            </a:solidFill>
            <a:latin typeface="Arial"/>
            <a:ea typeface="+mn-ea"/>
            <a:cs typeface="Arial"/>
          </a:endParaRPr>
        </a:p>
      </xdr:txBody>
    </xdr:sp>
    <xdr:clientData/>
  </xdr:twoCellAnchor>
  <xdr:twoCellAnchor>
    <xdr:from>
      <xdr:col>13</xdr:col>
      <xdr:colOff>19856</xdr:colOff>
      <xdr:row>9</xdr:row>
      <xdr:rowOff>63702</xdr:rowOff>
    </xdr:from>
    <xdr:to>
      <xdr:col>15</xdr:col>
      <xdr:colOff>13286</xdr:colOff>
      <xdr:row>11</xdr:row>
      <xdr:rowOff>50565</xdr:rowOff>
    </xdr:to>
    <xdr:sp macro="" textlink="Sheet2!B5">
      <xdr:nvSpPr>
        <xdr:cNvPr id="21" name="TextBox 20">
          <a:extLst>
            <a:ext uri="{FF2B5EF4-FFF2-40B4-BE49-F238E27FC236}">
              <a16:creationId xmlns:a16="http://schemas.microsoft.com/office/drawing/2014/main" id="{A0B082A0-9061-455A-BCAE-BA065B00221E}"/>
            </a:ext>
          </a:extLst>
        </xdr:cNvPr>
        <xdr:cNvSpPr txBox="1"/>
      </xdr:nvSpPr>
      <xdr:spPr>
        <a:xfrm>
          <a:off x="7869894" y="1745853"/>
          <a:ext cx="1201128" cy="3606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64AD140B-6B31-4E53-896C-18441778A181}" type="TxLink">
            <a:rPr lang="en-US" sz="2000" b="1" i="0" u="none" strike="noStrike">
              <a:solidFill>
                <a:schemeClr val="accent1">
                  <a:lumMod val="50000"/>
                </a:schemeClr>
              </a:solidFill>
              <a:latin typeface="Arial"/>
              <a:ea typeface="+mn-ea"/>
              <a:cs typeface="Arial"/>
            </a:rPr>
            <a:pPr marL="0" indent="0"/>
            <a:t> 298,121 </a:t>
          </a:fld>
          <a:endParaRPr lang="en-GB" sz="2000" b="1" i="0" u="none" strike="noStrike">
            <a:solidFill>
              <a:schemeClr val="accent1">
                <a:lumMod val="50000"/>
              </a:schemeClr>
            </a:solidFill>
            <a:latin typeface="Arial"/>
            <a:ea typeface="+mn-ea"/>
            <a:cs typeface="Arial"/>
          </a:endParaRPr>
        </a:p>
      </xdr:txBody>
    </xdr:sp>
    <xdr:clientData/>
  </xdr:twoCellAnchor>
  <xdr:twoCellAnchor>
    <xdr:from>
      <xdr:col>18</xdr:col>
      <xdr:colOff>50821</xdr:colOff>
      <xdr:row>9</xdr:row>
      <xdr:rowOff>5408</xdr:rowOff>
    </xdr:from>
    <xdr:to>
      <xdr:col>20</xdr:col>
      <xdr:colOff>44253</xdr:colOff>
      <xdr:row>10</xdr:row>
      <xdr:rowOff>179177</xdr:rowOff>
    </xdr:to>
    <xdr:sp macro="" textlink="Sheet2!B6">
      <xdr:nvSpPr>
        <xdr:cNvPr id="22" name="TextBox 21">
          <a:extLst>
            <a:ext uri="{FF2B5EF4-FFF2-40B4-BE49-F238E27FC236}">
              <a16:creationId xmlns:a16="http://schemas.microsoft.com/office/drawing/2014/main" id="{D49E129C-3528-46E6-8521-E5936E9A1BDC}"/>
            </a:ext>
          </a:extLst>
        </xdr:cNvPr>
        <xdr:cNvSpPr txBox="1"/>
      </xdr:nvSpPr>
      <xdr:spPr>
        <a:xfrm>
          <a:off x="10920104" y="1687559"/>
          <a:ext cx="1201130" cy="3606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02E4E21-B7FE-4ED7-814E-7A5DF27E17A1}" type="TxLink">
            <a:rPr lang="en-US" sz="2800" b="0" i="0" u="none" strike="noStrike">
              <a:solidFill>
                <a:schemeClr val="accent1">
                  <a:lumMod val="50000"/>
                </a:schemeClr>
              </a:solidFill>
              <a:latin typeface="Arial"/>
              <a:ea typeface="+mn-ea"/>
              <a:cs typeface="Arial"/>
            </a:rPr>
            <a:pPr marL="0" indent="0" algn="ctr"/>
            <a:t>21%</a:t>
          </a:fld>
          <a:endParaRPr lang="en-GB" sz="2800" b="0" i="0" u="none" strike="noStrike">
            <a:solidFill>
              <a:schemeClr val="accent1">
                <a:lumMod val="50000"/>
              </a:schemeClr>
            </a:solidFill>
            <a:latin typeface="Arial"/>
            <a:ea typeface="+mn-ea"/>
            <a:cs typeface="Arial"/>
          </a:endParaRPr>
        </a:p>
      </xdr:txBody>
    </xdr:sp>
    <xdr:clientData/>
  </xdr:twoCellAnchor>
  <xdr:twoCellAnchor>
    <xdr:from>
      <xdr:col>4</xdr:col>
      <xdr:colOff>47232</xdr:colOff>
      <xdr:row>11</xdr:row>
      <xdr:rowOff>164756</xdr:rowOff>
    </xdr:from>
    <xdr:to>
      <xdr:col>12</xdr:col>
      <xdr:colOff>416943</xdr:colOff>
      <xdr:row>29</xdr:row>
      <xdr:rowOff>172527</xdr:rowOff>
    </xdr:to>
    <xdr:graphicFrame macro="">
      <xdr:nvGraphicFramePr>
        <xdr:cNvPr id="11" name="Chart 10">
          <a:extLst>
            <a:ext uri="{FF2B5EF4-FFF2-40B4-BE49-F238E27FC236}">
              <a16:creationId xmlns:a16="http://schemas.microsoft.com/office/drawing/2014/main" id="{660BBCA8-E508-48BF-864C-96F9F63019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212936</xdr:colOff>
      <xdr:row>13</xdr:row>
      <xdr:rowOff>21017</xdr:rowOff>
    </xdr:from>
    <xdr:to>
      <xdr:col>11</xdr:col>
      <xdr:colOff>316302</xdr:colOff>
      <xdr:row>14</xdr:row>
      <xdr:rowOff>129396</xdr:rowOff>
    </xdr:to>
    <xdr:sp macro="" textlink="">
      <xdr:nvSpPr>
        <xdr:cNvPr id="17" name="TextBox 16">
          <a:extLst>
            <a:ext uri="{FF2B5EF4-FFF2-40B4-BE49-F238E27FC236}">
              <a16:creationId xmlns:a16="http://schemas.microsoft.com/office/drawing/2014/main" id="{8D4C52B0-B25B-4DB6-9556-A69CD5F92003}"/>
            </a:ext>
          </a:extLst>
        </xdr:cNvPr>
        <xdr:cNvSpPr txBox="1"/>
      </xdr:nvSpPr>
      <xdr:spPr>
        <a:xfrm>
          <a:off x="3836030" y="2450791"/>
          <a:ext cx="3122612" cy="29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ln>
                <a:noFill/>
              </a:ln>
              <a:solidFill>
                <a:srgbClr val="002060"/>
              </a:solidFill>
              <a:effectLst/>
              <a:latin typeface="+mn-lt"/>
              <a:ea typeface="+mn-ea"/>
              <a:cs typeface="+mn-cs"/>
            </a:rPr>
            <a:t> </a:t>
          </a:r>
          <a:r>
            <a:rPr lang="en-GB" sz="1800" b="1">
              <a:ln>
                <a:noFill/>
              </a:ln>
              <a:solidFill>
                <a:srgbClr val="002060"/>
              </a:solidFill>
              <a:latin typeface="+mn-lt"/>
              <a:ea typeface="+mn-ea"/>
              <a:cs typeface="+mn-cs"/>
            </a:rPr>
            <a:t>Sales By Month &amp; Region</a:t>
          </a:r>
        </a:p>
        <a:p>
          <a:pPr marL="0" marR="0" lvl="0" indent="0" algn="ctr" defTabSz="914400" eaLnBrk="1" fontAlgn="auto" latinLnBrk="0" hangingPunct="1">
            <a:lnSpc>
              <a:spcPct val="100000"/>
            </a:lnSpc>
            <a:spcBef>
              <a:spcPts val="0"/>
            </a:spcBef>
            <a:spcAft>
              <a:spcPts val="0"/>
            </a:spcAft>
            <a:buClrTx/>
            <a:buSzTx/>
            <a:buFontTx/>
            <a:buNone/>
            <a:tabLst/>
            <a:defRPr/>
          </a:pPr>
          <a:endParaRPr lang="en-GB" sz="1200" b="1">
            <a:ln>
              <a:noFill/>
            </a:ln>
            <a:solidFill>
              <a:schemeClr val="accent1">
                <a:lumMod val="50000"/>
              </a:schemeClr>
            </a:solidFill>
            <a:latin typeface="+mn-lt"/>
            <a:ea typeface="+mn-ea"/>
            <a:cs typeface="+mn-cs"/>
          </a:endParaRPr>
        </a:p>
        <a:p>
          <a:pPr algn="ctr"/>
          <a:endParaRPr lang="en-GB" sz="1200">
            <a:ln>
              <a:noFill/>
            </a:ln>
            <a:noFill/>
          </a:endParaRPr>
        </a:p>
      </xdr:txBody>
    </xdr:sp>
    <xdr:clientData/>
  </xdr:twoCellAnchor>
  <xdr:twoCellAnchor>
    <xdr:from>
      <xdr:col>13</xdr:col>
      <xdr:colOff>143773</xdr:colOff>
      <xdr:row>12</xdr:row>
      <xdr:rowOff>55759</xdr:rowOff>
    </xdr:from>
    <xdr:to>
      <xdr:col>21</xdr:col>
      <xdr:colOff>201283</xdr:colOff>
      <xdr:row>30</xdr:row>
      <xdr:rowOff>14377</xdr:rowOff>
    </xdr:to>
    <xdr:graphicFrame macro="">
      <xdr:nvGraphicFramePr>
        <xdr:cNvPr id="25" name="Chart 24">
          <a:extLst>
            <a:ext uri="{FF2B5EF4-FFF2-40B4-BE49-F238E27FC236}">
              <a16:creationId xmlns:a16="http://schemas.microsoft.com/office/drawing/2014/main" id="{E6245A8A-2D6E-4021-B8AC-6ACC8B1C31B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402566</xdr:colOff>
      <xdr:row>12</xdr:row>
      <xdr:rowOff>92905</xdr:rowOff>
    </xdr:from>
    <xdr:to>
      <xdr:col>19</xdr:col>
      <xdr:colOff>505933</xdr:colOff>
      <xdr:row>14</xdr:row>
      <xdr:rowOff>14378</xdr:rowOff>
    </xdr:to>
    <xdr:sp macro="" textlink="">
      <xdr:nvSpPr>
        <xdr:cNvPr id="28" name="TextBox 27">
          <a:extLst>
            <a:ext uri="{FF2B5EF4-FFF2-40B4-BE49-F238E27FC236}">
              <a16:creationId xmlns:a16="http://schemas.microsoft.com/office/drawing/2014/main" id="{B8750CBF-CCEF-45B8-B666-90AC9EF36C6A}"/>
            </a:ext>
          </a:extLst>
        </xdr:cNvPr>
        <xdr:cNvSpPr txBox="1"/>
      </xdr:nvSpPr>
      <xdr:spPr>
        <a:xfrm>
          <a:off x="8856453" y="2335773"/>
          <a:ext cx="3122612" cy="29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000" b="1">
              <a:ln>
                <a:noFill/>
              </a:ln>
              <a:solidFill>
                <a:srgbClr val="002060"/>
              </a:solidFill>
              <a:latin typeface="+mn-lt"/>
              <a:ea typeface="+mn-ea"/>
              <a:cs typeface="+mn-cs"/>
            </a:rPr>
            <a:t>Top</a:t>
          </a:r>
          <a:r>
            <a:rPr lang="en-GB" sz="2000" b="1">
              <a:ln>
                <a:noFill/>
              </a:ln>
              <a:solidFill>
                <a:srgbClr val="002060"/>
              </a:solidFill>
              <a:effectLst/>
              <a:latin typeface="+mn-lt"/>
              <a:ea typeface="+mn-ea"/>
              <a:cs typeface="+mn-cs"/>
            </a:rPr>
            <a:t> 10 </a:t>
          </a:r>
          <a:r>
            <a:rPr lang="en-GB" sz="2000" b="1">
              <a:ln>
                <a:noFill/>
              </a:ln>
              <a:solidFill>
                <a:srgbClr val="002060"/>
              </a:solidFill>
              <a:latin typeface="+mn-lt"/>
              <a:ea typeface="+mn-ea"/>
              <a:cs typeface="+mn-cs"/>
            </a:rPr>
            <a:t>Products</a:t>
          </a:r>
        </a:p>
        <a:p>
          <a:pPr marL="0" marR="0" lvl="0" indent="0" algn="ctr" defTabSz="914400" eaLnBrk="1" fontAlgn="auto" latinLnBrk="0" hangingPunct="1">
            <a:lnSpc>
              <a:spcPct val="100000"/>
            </a:lnSpc>
            <a:spcBef>
              <a:spcPts val="0"/>
            </a:spcBef>
            <a:spcAft>
              <a:spcPts val="0"/>
            </a:spcAft>
            <a:buClrTx/>
            <a:buSzTx/>
            <a:buFontTx/>
            <a:buNone/>
            <a:tabLst/>
            <a:defRPr/>
          </a:pPr>
          <a:endParaRPr lang="en-GB" sz="1200" b="1">
            <a:ln>
              <a:noFill/>
            </a:ln>
            <a:solidFill>
              <a:schemeClr val="accent1">
                <a:lumMod val="50000"/>
              </a:schemeClr>
            </a:solidFill>
            <a:latin typeface="+mn-lt"/>
            <a:ea typeface="+mn-ea"/>
            <a:cs typeface="+mn-cs"/>
          </a:endParaRPr>
        </a:p>
        <a:p>
          <a:pPr algn="ctr"/>
          <a:endParaRPr lang="en-GB" sz="1200">
            <a:ln>
              <a:noFill/>
            </a:ln>
            <a:noFill/>
          </a:endParaRPr>
        </a:p>
      </xdr:txBody>
    </xdr:sp>
    <xdr:clientData/>
  </xdr:twoCellAnchor>
  <xdr:twoCellAnchor>
    <xdr:from>
      <xdr:col>22</xdr:col>
      <xdr:colOff>330680</xdr:colOff>
      <xdr:row>7</xdr:row>
      <xdr:rowOff>901</xdr:rowOff>
    </xdr:from>
    <xdr:to>
      <xdr:col>23</xdr:col>
      <xdr:colOff>445699</xdr:colOff>
      <xdr:row>10</xdr:row>
      <xdr:rowOff>144675</xdr:rowOff>
    </xdr:to>
    <xdr:sp macro="" textlink="">
      <xdr:nvSpPr>
        <xdr:cNvPr id="31" name="Flowchart: Connector 30">
          <a:extLst>
            <a:ext uri="{FF2B5EF4-FFF2-40B4-BE49-F238E27FC236}">
              <a16:creationId xmlns:a16="http://schemas.microsoft.com/office/drawing/2014/main" id="{0307CD94-B51F-429C-B9AE-68B8378DACEA}"/>
            </a:ext>
          </a:extLst>
        </xdr:cNvPr>
        <xdr:cNvSpPr/>
      </xdr:nvSpPr>
      <xdr:spPr>
        <a:xfrm>
          <a:off x="13615359" y="1309241"/>
          <a:ext cx="718868" cy="704491"/>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t>1</a:t>
          </a:r>
        </a:p>
      </xdr:txBody>
    </xdr:sp>
    <xdr:clientData/>
  </xdr:twoCellAnchor>
  <xdr:twoCellAnchor>
    <xdr:from>
      <xdr:col>22</xdr:col>
      <xdr:colOff>330680</xdr:colOff>
      <xdr:row>11</xdr:row>
      <xdr:rowOff>144675</xdr:rowOff>
    </xdr:from>
    <xdr:to>
      <xdr:col>23</xdr:col>
      <xdr:colOff>445699</xdr:colOff>
      <xdr:row>15</xdr:row>
      <xdr:rowOff>101543</xdr:rowOff>
    </xdr:to>
    <xdr:sp macro="" textlink="">
      <xdr:nvSpPr>
        <xdr:cNvPr id="39" name="Flowchart: Connector 38">
          <a:extLst>
            <a:ext uri="{FF2B5EF4-FFF2-40B4-BE49-F238E27FC236}">
              <a16:creationId xmlns:a16="http://schemas.microsoft.com/office/drawing/2014/main" id="{44E225DD-2334-4E1B-8092-058B7B0489C0}"/>
            </a:ext>
          </a:extLst>
        </xdr:cNvPr>
        <xdr:cNvSpPr/>
      </xdr:nvSpPr>
      <xdr:spPr>
        <a:xfrm>
          <a:off x="13615359" y="2200637"/>
          <a:ext cx="718868" cy="704491"/>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t>2</a:t>
          </a:r>
        </a:p>
      </xdr:txBody>
    </xdr:sp>
    <xdr:clientData/>
  </xdr:twoCellAnchor>
  <xdr:twoCellAnchor>
    <xdr:from>
      <xdr:col>22</xdr:col>
      <xdr:colOff>330680</xdr:colOff>
      <xdr:row>21</xdr:row>
      <xdr:rowOff>58410</xdr:rowOff>
    </xdr:from>
    <xdr:to>
      <xdr:col>23</xdr:col>
      <xdr:colOff>445699</xdr:colOff>
      <xdr:row>25</xdr:row>
      <xdr:rowOff>15278</xdr:rowOff>
    </xdr:to>
    <xdr:sp macro="" textlink="">
      <xdr:nvSpPr>
        <xdr:cNvPr id="43" name="Flowchart: Connector 42">
          <a:extLst>
            <a:ext uri="{FF2B5EF4-FFF2-40B4-BE49-F238E27FC236}">
              <a16:creationId xmlns:a16="http://schemas.microsoft.com/office/drawing/2014/main" id="{86944A8D-F80E-4030-AFF6-6F6A3A89271C}"/>
            </a:ext>
          </a:extLst>
        </xdr:cNvPr>
        <xdr:cNvSpPr/>
      </xdr:nvSpPr>
      <xdr:spPr>
        <a:xfrm>
          <a:off x="13615359" y="3983429"/>
          <a:ext cx="718868" cy="704491"/>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t>4</a:t>
          </a:r>
        </a:p>
      </xdr:txBody>
    </xdr:sp>
    <xdr:clientData/>
  </xdr:twoCellAnchor>
  <xdr:twoCellAnchor>
    <xdr:from>
      <xdr:col>22</xdr:col>
      <xdr:colOff>330680</xdr:colOff>
      <xdr:row>26</xdr:row>
      <xdr:rowOff>15279</xdr:rowOff>
    </xdr:from>
    <xdr:to>
      <xdr:col>23</xdr:col>
      <xdr:colOff>445699</xdr:colOff>
      <xdr:row>29</xdr:row>
      <xdr:rowOff>159053</xdr:rowOff>
    </xdr:to>
    <xdr:sp macro="" textlink="">
      <xdr:nvSpPr>
        <xdr:cNvPr id="44" name="Flowchart: Connector 43">
          <a:extLst>
            <a:ext uri="{FF2B5EF4-FFF2-40B4-BE49-F238E27FC236}">
              <a16:creationId xmlns:a16="http://schemas.microsoft.com/office/drawing/2014/main" id="{3624F738-F84F-4379-8ABF-F8A459F06EF5}"/>
            </a:ext>
          </a:extLst>
        </xdr:cNvPr>
        <xdr:cNvSpPr/>
      </xdr:nvSpPr>
      <xdr:spPr>
        <a:xfrm>
          <a:off x="13615359" y="4874826"/>
          <a:ext cx="718868" cy="704491"/>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t>5</a:t>
          </a:r>
        </a:p>
        <a:p>
          <a:pPr algn="ctr"/>
          <a:endParaRPr lang="en-GB" sz="2800" b="1"/>
        </a:p>
      </xdr:txBody>
    </xdr:sp>
    <xdr:clientData/>
  </xdr:twoCellAnchor>
  <xdr:twoCellAnchor>
    <xdr:from>
      <xdr:col>22</xdr:col>
      <xdr:colOff>330680</xdr:colOff>
      <xdr:row>16</xdr:row>
      <xdr:rowOff>101542</xdr:rowOff>
    </xdr:from>
    <xdr:to>
      <xdr:col>23</xdr:col>
      <xdr:colOff>445699</xdr:colOff>
      <xdr:row>20</xdr:row>
      <xdr:rowOff>58411</xdr:rowOff>
    </xdr:to>
    <xdr:sp macro="" textlink="">
      <xdr:nvSpPr>
        <xdr:cNvPr id="46" name="Flowchart: Connector 45">
          <a:extLst>
            <a:ext uri="{FF2B5EF4-FFF2-40B4-BE49-F238E27FC236}">
              <a16:creationId xmlns:a16="http://schemas.microsoft.com/office/drawing/2014/main" id="{85863846-3B0D-404C-955D-4125D5C820B7}"/>
            </a:ext>
          </a:extLst>
        </xdr:cNvPr>
        <xdr:cNvSpPr/>
      </xdr:nvSpPr>
      <xdr:spPr>
        <a:xfrm>
          <a:off x="13615359" y="3092033"/>
          <a:ext cx="718868" cy="704491"/>
        </a:xfrm>
        <a:prstGeom prst="flowChartConnector">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GB" sz="2800" b="1"/>
            <a:t>3</a:t>
          </a:r>
        </a:p>
      </xdr:txBody>
    </xdr:sp>
    <xdr:clientData/>
  </xdr:twoCellAnchor>
  <xdr:twoCellAnchor>
    <xdr:from>
      <xdr:col>24</xdr:col>
      <xdr:colOff>31464</xdr:colOff>
      <xdr:row>7</xdr:row>
      <xdr:rowOff>43132</xdr:rowOff>
    </xdr:from>
    <xdr:to>
      <xdr:col>25</xdr:col>
      <xdr:colOff>460075</xdr:colOff>
      <xdr:row>9</xdr:row>
      <xdr:rowOff>57509</xdr:rowOff>
    </xdr:to>
    <xdr:sp macro="" textlink="Sheet2!M17">
      <xdr:nvSpPr>
        <xdr:cNvPr id="47" name="TextBox 46">
          <a:extLst>
            <a:ext uri="{FF2B5EF4-FFF2-40B4-BE49-F238E27FC236}">
              <a16:creationId xmlns:a16="http://schemas.microsoft.com/office/drawing/2014/main" id="{FFD9F15F-76BF-41DB-408D-5D0124C4339A}"/>
            </a:ext>
          </a:extLst>
        </xdr:cNvPr>
        <xdr:cNvSpPr txBox="1"/>
      </xdr:nvSpPr>
      <xdr:spPr>
        <a:xfrm>
          <a:off x="14523841" y="1351472"/>
          <a:ext cx="1032460" cy="38818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143F942-4A8C-4507-92F8-0C579B0E647A}" type="TxLink">
            <a:rPr lang="en-US" sz="1600" b="1" i="0" u="none" strike="noStrike">
              <a:ln>
                <a:noFill/>
              </a:ln>
              <a:solidFill>
                <a:schemeClr val="accent5">
                  <a:lumMod val="50000"/>
                </a:schemeClr>
              </a:solidFill>
              <a:latin typeface="Arial"/>
              <a:cs typeface="Arial"/>
            </a:rPr>
            <a:pPr/>
            <a:t>StarMall</a:t>
          </a:fld>
          <a:endParaRPr lang="en-GB" sz="1600" b="1">
            <a:ln>
              <a:noFill/>
            </a:ln>
            <a:solidFill>
              <a:schemeClr val="accent5">
                <a:lumMod val="50000"/>
              </a:schemeClr>
            </a:solidFill>
          </a:endParaRPr>
        </a:p>
      </xdr:txBody>
    </xdr:sp>
    <xdr:clientData/>
  </xdr:twoCellAnchor>
  <xdr:twoCellAnchor>
    <xdr:from>
      <xdr:col>24</xdr:col>
      <xdr:colOff>31464</xdr:colOff>
      <xdr:row>12</xdr:row>
      <xdr:rowOff>14577</xdr:rowOff>
    </xdr:from>
    <xdr:to>
      <xdr:col>26</xdr:col>
      <xdr:colOff>28754</xdr:colOff>
      <xdr:row>13</xdr:row>
      <xdr:rowOff>115018</xdr:rowOff>
    </xdr:to>
    <xdr:sp macro="" textlink="Sheet2!M18">
      <xdr:nvSpPr>
        <xdr:cNvPr id="48" name="TextBox 47">
          <a:extLst>
            <a:ext uri="{FF2B5EF4-FFF2-40B4-BE49-F238E27FC236}">
              <a16:creationId xmlns:a16="http://schemas.microsoft.com/office/drawing/2014/main" id="{5AF15D73-548D-4E71-A9D1-7D4F7972B152}"/>
            </a:ext>
          </a:extLst>
        </xdr:cNvPr>
        <xdr:cNvSpPr txBox="1"/>
      </xdr:nvSpPr>
      <xdr:spPr>
        <a:xfrm>
          <a:off x="14523841" y="2257445"/>
          <a:ext cx="1204988" cy="2873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BA6360F4-CBD5-441C-84C9-B0F261D426AE}" type="TxLink">
            <a:rPr lang="en-US" sz="1600" b="1" i="0" u="none" strike="noStrike">
              <a:ln>
                <a:noFill/>
              </a:ln>
              <a:solidFill>
                <a:schemeClr val="accent5">
                  <a:lumMod val="50000"/>
                </a:schemeClr>
              </a:solidFill>
              <a:latin typeface="Arial"/>
              <a:ea typeface="Calibri"/>
              <a:cs typeface="Arial"/>
            </a:rPr>
            <a:pPr/>
            <a:t>Shopper's Hub</a:t>
          </a:fld>
          <a:endParaRPr lang="en-GB" sz="1600" b="1">
            <a:ln>
              <a:noFill/>
            </a:ln>
            <a:solidFill>
              <a:schemeClr val="accent5">
                <a:lumMod val="50000"/>
              </a:schemeClr>
            </a:solidFill>
          </a:endParaRPr>
        </a:p>
      </xdr:txBody>
    </xdr:sp>
    <xdr:clientData/>
  </xdr:twoCellAnchor>
  <xdr:twoCellAnchor>
    <xdr:from>
      <xdr:col>24</xdr:col>
      <xdr:colOff>31464</xdr:colOff>
      <xdr:row>16</xdr:row>
      <xdr:rowOff>144173</xdr:rowOff>
    </xdr:from>
    <xdr:to>
      <xdr:col>25</xdr:col>
      <xdr:colOff>474452</xdr:colOff>
      <xdr:row>18</xdr:row>
      <xdr:rowOff>129396</xdr:rowOff>
    </xdr:to>
    <xdr:sp macro="" textlink="Sheet2!M19">
      <xdr:nvSpPr>
        <xdr:cNvPr id="49" name="TextBox 48">
          <a:extLst>
            <a:ext uri="{FF2B5EF4-FFF2-40B4-BE49-F238E27FC236}">
              <a16:creationId xmlns:a16="http://schemas.microsoft.com/office/drawing/2014/main" id="{3A1B2048-C687-49B9-A127-E50B57EB2B6B}"/>
            </a:ext>
          </a:extLst>
        </xdr:cNvPr>
        <xdr:cNvSpPr txBox="1"/>
      </xdr:nvSpPr>
      <xdr:spPr>
        <a:xfrm>
          <a:off x="14523841" y="3134664"/>
          <a:ext cx="1046837" cy="3590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DDD84E0A-D0D9-4534-B422-49A0C9701FFD}" type="TxLink">
            <a:rPr lang="en-US" sz="1600" b="1" i="0" u="none" strike="noStrike">
              <a:ln>
                <a:noFill/>
              </a:ln>
              <a:solidFill>
                <a:schemeClr val="accent5">
                  <a:lumMod val="50000"/>
                </a:schemeClr>
              </a:solidFill>
              <a:latin typeface="Arial"/>
              <a:cs typeface="Arial"/>
            </a:rPr>
            <a:pPr/>
            <a:t>AliTech</a:t>
          </a:fld>
          <a:endParaRPr lang="en-GB" sz="1600" b="1">
            <a:ln>
              <a:noFill/>
            </a:ln>
            <a:solidFill>
              <a:schemeClr val="accent5">
                <a:lumMod val="50000"/>
              </a:schemeClr>
            </a:solidFill>
          </a:endParaRPr>
        </a:p>
      </xdr:txBody>
    </xdr:sp>
    <xdr:clientData/>
  </xdr:twoCellAnchor>
  <xdr:twoCellAnchor>
    <xdr:from>
      <xdr:col>24</xdr:col>
      <xdr:colOff>31464</xdr:colOff>
      <xdr:row>21</xdr:row>
      <xdr:rowOff>101241</xdr:rowOff>
    </xdr:from>
    <xdr:to>
      <xdr:col>25</xdr:col>
      <xdr:colOff>589471</xdr:colOff>
      <xdr:row>23</xdr:row>
      <xdr:rowOff>43132</xdr:rowOff>
    </xdr:to>
    <xdr:sp macro="" textlink="Sheet2!M20">
      <xdr:nvSpPr>
        <xdr:cNvPr id="50" name="TextBox 49">
          <a:extLst>
            <a:ext uri="{FF2B5EF4-FFF2-40B4-BE49-F238E27FC236}">
              <a16:creationId xmlns:a16="http://schemas.microsoft.com/office/drawing/2014/main" id="{24CA132E-375C-4F08-BAA6-CC58C99C5A8E}"/>
            </a:ext>
          </a:extLst>
        </xdr:cNvPr>
        <xdr:cNvSpPr txBox="1"/>
      </xdr:nvSpPr>
      <xdr:spPr>
        <a:xfrm>
          <a:off x="14523841" y="4026260"/>
          <a:ext cx="1161856" cy="31570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959568DD-6935-48A1-8C38-889476A23791}" type="TxLink">
            <a:rPr lang="en-US" sz="1600" b="1" i="0" u="none" strike="noStrike">
              <a:ln>
                <a:noFill/>
              </a:ln>
              <a:solidFill>
                <a:schemeClr val="accent5">
                  <a:lumMod val="50000"/>
                </a:schemeClr>
              </a:solidFill>
              <a:latin typeface="Arial"/>
              <a:cs typeface="Arial"/>
            </a:rPr>
            <a:pPr/>
            <a:t>TechMart</a:t>
          </a:fld>
          <a:endParaRPr lang="en-GB" sz="1600" b="1">
            <a:ln>
              <a:noFill/>
            </a:ln>
            <a:solidFill>
              <a:schemeClr val="accent5">
                <a:lumMod val="50000"/>
              </a:schemeClr>
            </a:solidFill>
          </a:endParaRPr>
        </a:p>
      </xdr:txBody>
    </xdr:sp>
    <xdr:clientData/>
  </xdr:twoCellAnchor>
  <xdr:twoCellAnchor>
    <xdr:from>
      <xdr:col>24</xdr:col>
      <xdr:colOff>31464</xdr:colOff>
      <xdr:row>26</xdr:row>
      <xdr:rowOff>58309</xdr:rowOff>
    </xdr:from>
    <xdr:to>
      <xdr:col>26</xdr:col>
      <xdr:colOff>431320</xdr:colOff>
      <xdr:row>28</xdr:row>
      <xdr:rowOff>57510</xdr:rowOff>
    </xdr:to>
    <xdr:sp macro="" textlink="Sheet2!M21">
      <xdr:nvSpPr>
        <xdr:cNvPr id="51" name="TextBox 50">
          <a:extLst>
            <a:ext uri="{FF2B5EF4-FFF2-40B4-BE49-F238E27FC236}">
              <a16:creationId xmlns:a16="http://schemas.microsoft.com/office/drawing/2014/main" id="{37171426-573E-4AF2-ACEB-BC52242CC545}"/>
            </a:ext>
          </a:extLst>
        </xdr:cNvPr>
        <xdr:cNvSpPr txBox="1"/>
      </xdr:nvSpPr>
      <xdr:spPr>
        <a:xfrm>
          <a:off x="14523841" y="4917856"/>
          <a:ext cx="1607554" cy="3730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5B662327-2BA0-4B69-99A8-C898F39D559B}" type="TxLink">
            <a:rPr lang="en-US" sz="1600" b="1" i="0" u="none" strike="noStrike">
              <a:ln>
                <a:noFill/>
              </a:ln>
              <a:solidFill>
                <a:schemeClr val="accent5">
                  <a:lumMod val="50000"/>
                </a:schemeClr>
              </a:solidFill>
              <a:latin typeface="Arial"/>
              <a:ea typeface="Calibri"/>
              <a:cs typeface="Arial"/>
            </a:rPr>
            <a:pPr/>
            <a:t>CityEssentials</a:t>
          </a:fld>
          <a:endParaRPr lang="en-GB" sz="1600" b="1">
            <a:ln>
              <a:noFill/>
            </a:ln>
            <a:solidFill>
              <a:schemeClr val="accent5">
                <a:lumMod val="50000"/>
              </a:schemeClr>
            </a:solidFill>
          </a:endParaRPr>
        </a:p>
      </xdr:txBody>
    </xdr:sp>
    <xdr:clientData/>
  </xdr:twoCellAnchor>
  <xdr:twoCellAnchor>
    <xdr:from>
      <xdr:col>24</xdr:col>
      <xdr:colOff>31464</xdr:colOff>
      <xdr:row>28</xdr:row>
      <xdr:rowOff>130297</xdr:rowOff>
    </xdr:from>
    <xdr:to>
      <xdr:col>25</xdr:col>
      <xdr:colOff>342015</xdr:colOff>
      <xdr:row>30</xdr:row>
      <xdr:rowOff>122245</xdr:rowOff>
    </xdr:to>
    <xdr:sp macro="" textlink="Sheet2!N21">
      <xdr:nvSpPr>
        <xdr:cNvPr id="52" name="TextBox 51">
          <a:extLst>
            <a:ext uri="{FF2B5EF4-FFF2-40B4-BE49-F238E27FC236}">
              <a16:creationId xmlns:a16="http://schemas.microsoft.com/office/drawing/2014/main" id="{3FD4DCF6-D1DB-45F8-9197-D8CCE0A88F0C}"/>
            </a:ext>
          </a:extLst>
        </xdr:cNvPr>
        <xdr:cNvSpPr txBox="1"/>
      </xdr:nvSpPr>
      <xdr:spPr>
        <a:xfrm>
          <a:off x="14523841" y="5363655"/>
          <a:ext cx="914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760282D0-DF07-4D15-9784-FA7DD3F7CD32}" type="TxLink">
            <a:rPr lang="en-US" sz="1400" b="1" i="0" u="none" strike="noStrike">
              <a:ln>
                <a:noFill/>
              </a:ln>
              <a:solidFill>
                <a:srgbClr val="404040"/>
              </a:solidFill>
              <a:latin typeface="Arial"/>
              <a:cs typeface="Arial"/>
            </a:rPr>
            <a:pPr/>
            <a:t> 92,096 </a:t>
          </a:fld>
          <a:endParaRPr lang="en-US" sz="1400" b="1" i="0" u="none" strike="noStrike">
            <a:ln>
              <a:noFill/>
            </a:ln>
            <a:solidFill>
              <a:schemeClr val="tx1"/>
            </a:solidFill>
            <a:latin typeface="Arial"/>
            <a:cs typeface="Arial"/>
          </a:endParaRPr>
        </a:p>
      </xdr:txBody>
    </xdr:sp>
    <xdr:clientData/>
  </xdr:twoCellAnchor>
  <xdr:twoCellAnchor>
    <xdr:from>
      <xdr:col>24</xdr:col>
      <xdr:colOff>31464</xdr:colOff>
      <xdr:row>19</xdr:row>
      <xdr:rowOff>29254</xdr:rowOff>
    </xdr:from>
    <xdr:to>
      <xdr:col>25</xdr:col>
      <xdr:colOff>342015</xdr:colOff>
      <xdr:row>21</xdr:row>
      <xdr:rowOff>21203</xdr:rowOff>
    </xdr:to>
    <xdr:sp macro="" textlink="Sheet2!N19">
      <xdr:nvSpPr>
        <xdr:cNvPr id="53" name="TextBox 52">
          <a:extLst>
            <a:ext uri="{FF2B5EF4-FFF2-40B4-BE49-F238E27FC236}">
              <a16:creationId xmlns:a16="http://schemas.microsoft.com/office/drawing/2014/main" id="{CE6DB678-B851-45A7-91A1-33C000981891}"/>
            </a:ext>
          </a:extLst>
        </xdr:cNvPr>
        <xdr:cNvSpPr txBox="1"/>
      </xdr:nvSpPr>
      <xdr:spPr>
        <a:xfrm>
          <a:off x="14523841" y="3580462"/>
          <a:ext cx="914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6C4ADE6-05CF-4DFB-B735-73B295988A05}" type="TxLink">
            <a:rPr lang="en-US" sz="1400" b="1" i="0" u="none" strike="noStrike">
              <a:ln>
                <a:noFill/>
              </a:ln>
              <a:solidFill>
                <a:srgbClr val="404040"/>
              </a:solidFill>
              <a:latin typeface="Arial"/>
              <a:ea typeface="Calibri"/>
              <a:cs typeface="Arial"/>
            </a:rPr>
            <a:pPr/>
            <a:t> 274,464 </a:t>
          </a:fld>
          <a:endParaRPr lang="en-GB" sz="1400" b="1">
            <a:ln>
              <a:noFill/>
            </a:ln>
            <a:solidFill>
              <a:schemeClr val="tx1"/>
            </a:solidFill>
          </a:endParaRPr>
        </a:p>
      </xdr:txBody>
    </xdr:sp>
    <xdr:clientData/>
  </xdr:twoCellAnchor>
  <xdr:twoCellAnchor>
    <xdr:from>
      <xdr:col>24</xdr:col>
      <xdr:colOff>31464</xdr:colOff>
      <xdr:row>14</xdr:row>
      <xdr:rowOff>72187</xdr:rowOff>
    </xdr:from>
    <xdr:to>
      <xdr:col>25</xdr:col>
      <xdr:colOff>342015</xdr:colOff>
      <xdr:row>16</xdr:row>
      <xdr:rowOff>64135</xdr:rowOff>
    </xdr:to>
    <xdr:sp macro="" textlink="Sheet2!N18">
      <xdr:nvSpPr>
        <xdr:cNvPr id="54" name="TextBox 53">
          <a:extLst>
            <a:ext uri="{FF2B5EF4-FFF2-40B4-BE49-F238E27FC236}">
              <a16:creationId xmlns:a16="http://schemas.microsoft.com/office/drawing/2014/main" id="{F6B5E920-8585-4A93-AB47-891A011AE438}"/>
            </a:ext>
          </a:extLst>
        </xdr:cNvPr>
        <xdr:cNvSpPr txBox="1"/>
      </xdr:nvSpPr>
      <xdr:spPr>
        <a:xfrm>
          <a:off x="14523841" y="2688866"/>
          <a:ext cx="914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4843A615-9631-42B1-8ADB-F987359C6132}" type="TxLink">
            <a:rPr lang="en-US" sz="1400" b="1" i="0" u="none" strike="noStrike">
              <a:ln>
                <a:noFill/>
              </a:ln>
              <a:solidFill>
                <a:srgbClr val="404040"/>
              </a:solidFill>
              <a:latin typeface="Arial"/>
              <a:ea typeface="Calibri"/>
              <a:cs typeface="Arial"/>
            </a:rPr>
            <a:pPr/>
            <a:t> 323,173 </a:t>
          </a:fld>
          <a:endParaRPr lang="en-GB" sz="1400" b="1">
            <a:ln>
              <a:noFill/>
            </a:ln>
            <a:solidFill>
              <a:schemeClr val="tx1"/>
            </a:solidFill>
          </a:endParaRPr>
        </a:p>
      </xdr:txBody>
    </xdr:sp>
    <xdr:clientData/>
  </xdr:twoCellAnchor>
  <xdr:twoCellAnchor>
    <xdr:from>
      <xdr:col>24</xdr:col>
      <xdr:colOff>31464</xdr:colOff>
      <xdr:row>9</xdr:row>
      <xdr:rowOff>115119</xdr:rowOff>
    </xdr:from>
    <xdr:to>
      <xdr:col>25</xdr:col>
      <xdr:colOff>342015</xdr:colOff>
      <xdr:row>11</xdr:row>
      <xdr:rowOff>107068</xdr:rowOff>
    </xdr:to>
    <xdr:sp macro="" textlink="Sheet2!N17">
      <xdr:nvSpPr>
        <xdr:cNvPr id="55" name="TextBox 54">
          <a:extLst>
            <a:ext uri="{FF2B5EF4-FFF2-40B4-BE49-F238E27FC236}">
              <a16:creationId xmlns:a16="http://schemas.microsoft.com/office/drawing/2014/main" id="{7EDB433C-703E-4E57-8443-BB4C030C29A1}"/>
            </a:ext>
          </a:extLst>
        </xdr:cNvPr>
        <xdr:cNvSpPr txBox="1"/>
      </xdr:nvSpPr>
      <xdr:spPr>
        <a:xfrm>
          <a:off x="14523841" y="1797270"/>
          <a:ext cx="914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CC3FB5F-669D-458C-B48F-65E3B0C3A3F6}" type="TxLink">
            <a:rPr lang="en-US" sz="1400" b="1" i="0" u="none" strike="noStrike">
              <a:ln>
                <a:noFill/>
              </a:ln>
              <a:solidFill>
                <a:srgbClr val="404040"/>
              </a:solidFill>
              <a:latin typeface="Arial"/>
              <a:cs typeface="Arial"/>
            </a:rPr>
            <a:pPr/>
            <a:t> 328,292 </a:t>
          </a:fld>
          <a:endParaRPr lang="en-GB" sz="1400" b="1">
            <a:ln>
              <a:noFill/>
            </a:ln>
            <a:solidFill>
              <a:schemeClr val="tx1"/>
            </a:solidFill>
          </a:endParaRPr>
        </a:p>
      </xdr:txBody>
    </xdr:sp>
    <xdr:clientData/>
  </xdr:twoCellAnchor>
  <xdr:twoCellAnchor>
    <xdr:from>
      <xdr:col>24</xdr:col>
      <xdr:colOff>31464</xdr:colOff>
      <xdr:row>23</xdr:row>
      <xdr:rowOff>173228</xdr:rowOff>
    </xdr:from>
    <xdr:to>
      <xdr:col>25</xdr:col>
      <xdr:colOff>342015</xdr:colOff>
      <xdr:row>25</xdr:row>
      <xdr:rowOff>165176</xdr:rowOff>
    </xdr:to>
    <xdr:sp macro="" textlink="Sheet2!N20">
      <xdr:nvSpPr>
        <xdr:cNvPr id="56" name="TextBox 55">
          <a:extLst>
            <a:ext uri="{FF2B5EF4-FFF2-40B4-BE49-F238E27FC236}">
              <a16:creationId xmlns:a16="http://schemas.microsoft.com/office/drawing/2014/main" id="{4BCEE122-217D-4EA4-987F-2C695E9FFC7A}"/>
            </a:ext>
          </a:extLst>
        </xdr:cNvPr>
        <xdr:cNvSpPr txBox="1"/>
      </xdr:nvSpPr>
      <xdr:spPr>
        <a:xfrm>
          <a:off x="14523841" y="4472058"/>
          <a:ext cx="914400" cy="3657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58E27B9-930C-4F95-B4EC-7572A291F7D3}" type="TxLink">
            <a:rPr lang="en-US" sz="1400" b="1" i="0" u="none" strike="noStrike">
              <a:ln>
                <a:noFill/>
              </a:ln>
              <a:solidFill>
                <a:srgbClr val="404040"/>
              </a:solidFill>
              <a:latin typeface="Arial"/>
              <a:cs typeface="Arial"/>
            </a:rPr>
            <a:pPr/>
            <a:t> 196,106 </a:t>
          </a:fld>
          <a:endParaRPr lang="en-GB" sz="1400" b="1">
            <a:ln>
              <a:noFill/>
            </a:ln>
            <a:solidFill>
              <a:schemeClr val="tx1"/>
            </a:solidFill>
          </a:endParaRPr>
        </a:p>
      </xdr:txBody>
    </xdr:sp>
    <xdr:clientData/>
  </xdr:twoCellAnchor>
  <xdr:twoCellAnchor>
    <xdr:from>
      <xdr:col>13</xdr:col>
      <xdr:colOff>345056</xdr:colOff>
      <xdr:row>33</xdr:row>
      <xdr:rowOff>100641</xdr:rowOff>
    </xdr:from>
    <xdr:to>
      <xdr:col>20</xdr:col>
      <xdr:colOff>575094</xdr:colOff>
      <xdr:row>50</xdr:row>
      <xdr:rowOff>100642</xdr:rowOff>
    </xdr:to>
    <xdr:graphicFrame macro="">
      <xdr:nvGraphicFramePr>
        <xdr:cNvPr id="23" name="Chart 22">
          <a:extLst>
            <a:ext uri="{FF2B5EF4-FFF2-40B4-BE49-F238E27FC236}">
              <a16:creationId xmlns:a16="http://schemas.microsoft.com/office/drawing/2014/main" id="{B054B833-C8DD-4499-AEF9-4FB06D25F09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14</xdr:col>
      <xdr:colOff>379713</xdr:colOff>
      <xdr:row>32</xdr:row>
      <xdr:rowOff>101531</xdr:rowOff>
    </xdr:from>
    <xdr:to>
      <xdr:col>19</xdr:col>
      <xdr:colOff>483080</xdr:colOff>
      <xdr:row>34</xdr:row>
      <xdr:rowOff>23004</xdr:rowOff>
    </xdr:to>
    <xdr:sp macro="" textlink="">
      <xdr:nvSpPr>
        <xdr:cNvPr id="26" name="TextBox 25">
          <a:extLst>
            <a:ext uri="{FF2B5EF4-FFF2-40B4-BE49-F238E27FC236}">
              <a16:creationId xmlns:a16="http://schemas.microsoft.com/office/drawing/2014/main" id="{3CC6E7E6-AD0E-49BB-8E2F-C9EE0C2C12CB}"/>
            </a:ext>
          </a:extLst>
        </xdr:cNvPr>
        <xdr:cNvSpPr txBox="1"/>
      </xdr:nvSpPr>
      <xdr:spPr>
        <a:xfrm>
          <a:off x="8833600" y="6082512"/>
          <a:ext cx="3122612" cy="29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000" b="1">
              <a:ln>
                <a:noFill/>
              </a:ln>
              <a:solidFill>
                <a:srgbClr val="002060"/>
              </a:solidFill>
              <a:effectLst/>
              <a:latin typeface="+mn-lt"/>
              <a:ea typeface="+mn-ea"/>
              <a:cs typeface="+mn-cs"/>
            </a:rPr>
            <a:t> </a:t>
          </a:r>
          <a:r>
            <a:rPr lang="en-GB" sz="2000" b="1">
              <a:ln>
                <a:noFill/>
              </a:ln>
              <a:solidFill>
                <a:srgbClr val="002060"/>
              </a:solidFill>
              <a:latin typeface="+mn-lt"/>
              <a:ea typeface="+mn-ea"/>
              <a:cs typeface="+mn-cs"/>
            </a:rPr>
            <a:t>Sales By</a:t>
          </a:r>
          <a:r>
            <a:rPr lang="en-GB" sz="2000" b="1" baseline="0">
              <a:ln>
                <a:noFill/>
              </a:ln>
              <a:solidFill>
                <a:srgbClr val="002060"/>
              </a:solidFill>
              <a:latin typeface="+mn-lt"/>
              <a:ea typeface="+mn-ea"/>
              <a:cs typeface="+mn-cs"/>
            </a:rPr>
            <a:t> </a:t>
          </a:r>
          <a:r>
            <a:rPr lang="en-GB" sz="2000" b="1">
              <a:ln>
                <a:noFill/>
              </a:ln>
              <a:solidFill>
                <a:srgbClr val="002060"/>
              </a:solidFill>
              <a:latin typeface="+mn-lt"/>
              <a:ea typeface="+mn-ea"/>
              <a:cs typeface="+mn-cs"/>
            </a:rPr>
            <a:t>Region</a:t>
          </a:r>
        </a:p>
        <a:p>
          <a:pPr marL="0" marR="0" lvl="0" indent="0" algn="ctr" defTabSz="914400" eaLnBrk="1" fontAlgn="auto" latinLnBrk="0" hangingPunct="1">
            <a:lnSpc>
              <a:spcPct val="100000"/>
            </a:lnSpc>
            <a:spcBef>
              <a:spcPts val="0"/>
            </a:spcBef>
            <a:spcAft>
              <a:spcPts val="0"/>
            </a:spcAft>
            <a:buClrTx/>
            <a:buSzTx/>
            <a:buFontTx/>
            <a:buNone/>
            <a:tabLst/>
            <a:defRPr/>
          </a:pPr>
          <a:endParaRPr lang="en-GB" sz="1200" b="1">
            <a:ln>
              <a:noFill/>
            </a:ln>
            <a:solidFill>
              <a:schemeClr val="accent1">
                <a:lumMod val="50000"/>
              </a:schemeClr>
            </a:solidFill>
            <a:latin typeface="+mn-lt"/>
            <a:ea typeface="+mn-ea"/>
            <a:cs typeface="+mn-cs"/>
          </a:endParaRPr>
        </a:p>
        <a:p>
          <a:pPr algn="ctr"/>
          <a:endParaRPr lang="en-GB" sz="1200">
            <a:ln>
              <a:noFill/>
            </a:ln>
            <a:noFill/>
          </a:endParaRPr>
        </a:p>
      </xdr:txBody>
    </xdr:sp>
    <xdr:clientData/>
  </xdr:twoCellAnchor>
  <xdr:twoCellAnchor>
    <xdr:from>
      <xdr:col>4</xdr:col>
      <xdr:colOff>215661</xdr:colOff>
      <xdr:row>32</xdr:row>
      <xdr:rowOff>0</xdr:rowOff>
    </xdr:from>
    <xdr:to>
      <xdr:col>12</xdr:col>
      <xdr:colOff>330678</xdr:colOff>
      <xdr:row>50</xdr:row>
      <xdr:rowOff>28754</xdr:rowOff>
    </xdr:to>
    <xdr:graphicFrame macro="">
      <xdr:nvGraphicFramePr>
        <xdr:cNvPr id="24" name="Chart 23">
          <a:extLst>
            <a:ext uri="{FF2B5EF4-FFF2-40B4-BE49-F238E27FC236}">
              <a16:creationId xmlns:a16="http://schemas.microsoft.com/office/drawing/2014/main" id="{870AF54C-62C0-4771-BC28-4E021EC8D9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546491</xdr:colOff>
      <xdr:row>32</xdr:row>
      <xdr:rowOff>110158</xdr:rowOff>
    </xdr:from>
    <xdr:to>
      <xdr:col>11</xdr:col>
      <xdr:colOff>46008</xdr:colOff>
      <xdr:row>34</xdr:row>
      <xdr:rowOff>31631</xdr:rowOff>
    </xdr:to>
    <xdr:sp macro="" textlink="">
      <xdr:nvSpPr>
        <xdr:cNvPr id="27" name="TextBox 26">
          <a:extLst>
            <a:ext uri="{FF2B5EF4-FFF2-40B4-BE49-F238E27FC236}">
              <a16:creationId xmlns:a16="http://schemas.microsoft.com/office/drawing/2014/main" id="{B3014EAB-DDC0-48EB-B5DF-34A1E2792133}"/>
            </a:ext>
          </a:extLst>
        </xdr:cNvPr>
        <xdr:cNvSpPr txBox="1"/>
      </xdr:nvSpPr>
      <xdr:spPr>
        <a:xfrm>
          <a:off x="3565736" y="6091139"/>
          <a:ext cx="3122612" cy="29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000" b="1">
              <a:ln>
                <a:noFill/>
              </a:ln>
              <a:solidFill>
                <a:srgbClr val="002060"/>
              </a:solidFill>
              <a:effectLst/>
              <a:latin typeface="+mn-lt"/>
              <a:ea typeface="+mn-ea"/>
              <a:cs typeface="+mn-cs"/>
            </a:rPr>
            <a:t> </a:t>
          </a:r>
          <a:r>
            <a:rPr lang="en-GB" sz="2000" b="1">
              <a:ln>
                <a:noFill/>
              </a:ln>
              <a:solidFill>
                <a:srgbClr val="002060"/>
              </a:solidFill>
              <a:latin typeface="+mn-lt"/>
              <a:ea typeface="+mn-ea"/>
              <a:cs typeface="+mn-cs"/>
            </a:rPr>
            <a:t>Sales By</a:t>
          </a:r>
          <a:r>
            <a:rPr lang="en-GB" sz="2000" b="1" baseline="0">
              <a:ln>
                <a:noFill/>
              </a:ln>
              <a:solidFill>
                <a:srgbClr val="002060"/>
              </a:solidFill>
              <a:latin typeface="+mn-lt"/>
              <a:ea typeface="+mn-ea"/>
              <a:cs typeface="+mn-cs"/>
            </a:rPr>
            <a:t> </a:t>
          </a:r>
          <a:r>
            <a:rPr lang="en-US" sz="2000" b="1" baseline="0">
              <a:ln>
                <a:noFill/>
              </a:ln>
              <a:solidFill>
                <a:srgbClr val="002060"/>
              </a:solidFill>
              <a:latin typeface="+mn-lt"/>
              <a:ea typeface="+mn-ea"/>
              <a:cs typeface="+mn-cs"/>
            </a:rPr>
            <a:t>Week</a:t>
          </a:r>
          <a:endParaRPr lang="en-GB" sz="1200" b="1">
            <a:ln>
              <a:noFill/>
            </a:ln>
            <a:solidFill>
              <a:schemeClr val="accent1">
                <a:lumMod val="50000"/>
              </a:schemeClr>
            </a:solidFill>
            <a:latin typeface="+mn-lt"/>
            <a:ea typeface="+mn-ea"/>
            <a:cs typeface="+mn-cs"/>
          </a:endParaRPr>
        </a:p>
        <a:p>
          <a:pPr algn="ctr"/>
          <a:endParaRPr lang="en-GB" sz="1200">
            <a:ln>
              <a:noFill/>
            </a:ln>
            <a:noFill/>
          </a:endParaRPr>
        </a:p>
      </xdr:txBody>
    </xdr:sp>
    <xdr:clientData/>
  </xdr:twoCellAnchor>
  <xdr:twoCellAnchor>
    <xdr:from>
      <xdr:col>22</xdr:col>
      <xdr:colOff>100642</xdr:colOff>
      <xdr:row>32</xdr:row>
      <xdr:rowOff>129396</xdr:rowOff>
    </xdr:from>
    <xdr:to>
      <xdr:col>28</xdr:col>
      <xdr:colOff>186905</xdr:colOff>
      <xdr:row>50</xdr:row>
      <xdr:rowOff>143774</xdr:rowOff>
    </xdr:to>
    <mc:AlternateContent xmlns:mc="http://schemas.openxmlformats.org/markup-compatibility/2006">
      <mc:Choice xmlns:cx4="http://schemas.microsoft.com/office/drawing/2016/5/10/chartex" Requires="cx4">
        <xdr:graphicFrame macro="">
          <xdr:nvGraphicFramePr>
            <xdr:cNvPr id="29" name="Chart 28">
              <a:extLst>
                <a:ext uri="{FF2B5EF4-FFF2-40B4-BE49-F238E27FC236}">
                  <a16:creationId xmlns:a16="http://schemas.microsoft.com/office/drawing/2014/main" id="{B42CEA90-94B0-42E6-B132-48DB4058ECF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5"/>
            </a:graphicData>
          </a:graphic>
        </xdr:graphicFrame>
      </mc:Choice>
      <mc:Fallback>
        <xdr:sp macro="" textlink="">
          <xdr:nvSpPr>
            <xdr:cNvPr id="0" name=""/>
            <xdr:cNvSpPr>
              <a:spLocks noTextEdit="1"/>
            </xdr:cNvSpPr>
          </xdr:nvSpPr>
          <xdr:spPr>
            <a:xfrm>
              <a:off x="13511842" y="5981556"/>
              <a:ext cx="3743863" cy="3306218"/>
            </a:xfrm>
            <a:prstGeom prst="rect">
              <a:avLst/>
            </a:prstGeom>
            <a:solidFill>
              <a:prstClr val="white"/>
            </a:solidFill>
            <a:ln w="1">
              <a:solidFill>
                <a:prstClr val="green"/>
              </a:solidFill>
            </a:ln>
          </xdr:spPr>
          <xdr:txBody>
            <a:bodyPr vertOverflow="clip" horzOverflow="clip"/>
            <a:lstStyle/>
            <a:p>
              <a:r>
                <a:rPr lang="en-GB"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281948</xdr:colOff>
      <xdr:row>32</xdr:row>
      <xdr:rowOff>90029</xdr:rowOff>
    </xdr:from>
    <xdr:to>
      <xdr:col>27</xdr:col>
      <xdr:colOff>385314</xdr:colOff>
      <xdr:row>34</xdr:row>
      <xdr:rowOff>11502</xdr:rowOff>
    </xdr:to>
    <xdr:sp macro="" textlink="">
      <xdr:nvSpPr>
        <xdr:cNvPr id="30" name="TextBox 29">
          <a:extLst>
            <a:ext uri="{FF2B5EF4-FFF2-40B4-BE49-F238E27FC236}">
              <a16:creationId xmlns:a16="http://schemas.microsoft.com/office/drawing/2014/main" id="{D18986C8-6254-42CF-8201-2C384B60450C}"/>
            </a:ext>
          </a:extLst>
        </xdr:cNvPr>
        <xdr:cNvSpPr txBox="1"/>
      </xdr:nvSpPr>
      <xdr:spPr>
        <a:xfrm>
          <a:off x="13566627" y="6071010"/>
          <a:ext cx="3122612" cy="29528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000" b="1">
              <a:ln>
                <a:noFill/>
              </a:ln>
              <a:solidFill>
                <a:srgbClr val="002060"/>
              </a:solidFill>
              <a:effectLst/>
              <a:latin typeface="+mn-lt"/>
              <a:ea typeface="+mn-ea"/>
              <a:cs typeface="+mn-cs"/>
            </a:rPr>
            <a:t> </a:t>
          </a:r>
          <a:r>
            <a:rPr lang="en-GB" sz="2000" b="1">
              <a:ln>
                <a:noFill/>
              </a:ln>
              <a:solidFill>
                <a:srgbClr val="002060"/>
              </a:solidFill>
              <a:latin typeface="+mn-lt"/>
              <a:ea typeface="+mn-ea"/>
              <a:cs typeface="+mn-cs"/>
            </a:rPr>
            <a:t>Sales By</a:t>
          </a:r>
          <a:r>
            <a:rPr lang="en-GB" sz="2000" b="1" baseline="0">
              <a:ln>
                <a:noFill/>
              </a:ln>
              <a:solidFill>
                <a:srgbClr val="002060"/>
              </a:solidFill>
              <a:latin typeface="+mn-lt"/>
              <a:ea typeface="+mn-ea"/>
              <a:cs typeface="+mn-cs"/>
            </a:rPr>
            <a:t> </a:t>
          </a:r>
          <a:r>
            <a:rPr lang="en-US" sz="2000" b="1" baseline="0">
              <a:ln>
                <a:noFill/>
              </a:ln>
              <a:solidFill>
                <a:srgbClr val="002060"/>
              </a:solidFill>
              <a:latin typeface="+mn-lt"/>
              <a:ea typeface="+mn-ea"/>
              <a:cs typeface="+mn-cs"/>
            </a:rPr>
            <a:t>Region</a:t>
          </a:r>
          <a:endParaRPr lang="en-GB" sz="1200" b="1">
            <a:ln>
              <a:noFill/>
            </a:ln>
            <a:solidFill>
              <a:schemeClr val="accent1">
                <a:lumMod val="50000"/>
              </a:schemeClr>
            </a:solidFill>
            <a:latin typeface="+mn-lt"/>
            <a:ea typeface="+mn-ea"/>
            <a:cs typeface="+mn-cs"/>
          </a:endParaRPr>
        </a:p>
        <a:p>
          <a:pPr algn="ctr"/>
          <a:endParaRPr lang="en-GB" sz="1200">
            <a:ln>
              <a:noFill/>
            </a:ln>
            <a:noFill/>
          </a:endParaRPr>
        </a:p>
      </xdr:txBody>
    </xdr:sp>
    <xdr:clientData/>
  </xdr:twoCellAnchor>
  <xdr:twoCellAnchor editAs="oneCell">
    <xdr:from>
      <xdr:col>0</xdr:col>
      <xdr:colOff>287547</xdr:colOff>
      <xdr:row>6</xdr:row>
      <xdr:rowOff>152400</xdr:rowOff>
    </xdr:from>
    <xdr:to>
      <xdr:col>3</xdr:col>
      <xdr:colOff>293370</xdr:colOff>
      <xdr:row>18</xdr:row>
      <xdr:rowOff>0</xdr:rowOff>
    </xdr:to>
    <mc:AlternateContent xmlns:mc="http://schemas.openxmlformats.org/markup-compatibility/2006" xmlns:a14="http://schemas.microsoft.com/office/drawing/2010/main">
      <mc:Choice Requires="a14">
        <xdr:graphicFrame macro="">
          <xdr:nvGraphicFramePr>
            <xdr:cNvPr id="32" name="Region 1">
              <a:extLst>
                <a:ext uri="{FF2B5EF4-FFF2-40B4-BE49-F238E27FC236}">
                  <a16:creationId xmlns:a16="http://schemas.microsoft.com/office/drawing/2014/main" id="{C752DD6A-B81B-4239-AA34-EFD4D6BDCDBF}"/>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287547" y="1273834"/>
              <a:ext cx="1817370" cy="2090468"/>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219973</xdr:colOff>
      <xdr:row>21</xdr:row>
      <xdr:rowOff>43132</xdr:rowOff>
    </xdr:from>
    <xdr:to>
      <xdr:col>3</xdr:col>
      <xdr:colOff>237226</xdr:colOff>
      <xdr:row>48</xdr:row>
      <xdr:rowOff>57509</xdr:rowOff>
    </xdr:to>
    <mc:AlternateContent xmlns:mc="http://schemas.openxmlformats.org/markup-compatibility/2006" xmlns:a14="http://schemas.microsoft.com/office/drawing/2010/main">
      <mc:Choice Requires="a14">
        <xdr:graphicFrame macro="">
          <xdr:nvGraphicFramePr>
            <xdr:cNvPr id="33" name="Month 1">
              <a:extLst>
                <a:ext uri="{FF2B5EF4-FFF2-40B4-BE49-F238E27FC236}">
                  <a16:creationId xmlns:a16="http://schemas.microsoft.com/office/drawing/2014/main" id="{6B381089-4611-482F-948C-556B46ABDBDB}"/>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19973" y="3968151"/>
              <a:ext cx="1828800" cy="506083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554186</xdr:colOff>
      <xdr:row>6</xdr:row>
      <xdr:rowOff>100640</xdr:rowOff>
    </xdr:from>
    <xdr:to>
      <xdr:col>5</xdr:col>
      <xdr:colOff>589471</xdr:colOff>
      <xdr:row>12</xdr:row>
      <xdr:rowOff>100641</xdr:rowOff>
    </xdr:to>
    <xdr:grpSp>
      <xdr:nvGrpSpPr>
        <xdr:cNvPr id="36" name="Group 35">
          <a:extLst>
            <a:ext uri="{FF2B5EF4-FFF2-40B4-BE49-F238E27FC236}">
              <a16:creationId xmlns:a16="http://schemas.microsoft.com/office/drawing/2014/main" id="{7A9F9298-DB48-55EE-936E-5312288C2FAD}"/>
            </a:ext>
          </a:extLst>
        </xdr:cNvPr>
        <xdr:cNvGrpSpPr/>
      </xdr:nvGrpSpPr>
      <xdr:grpSpPr>
        <a:xfrm>
          <a:off x="2365733" y="1222074"/>
          <a:ext cx="1242983" cy="1121435"/>
          <a:chOff x="2365733" y="1222074"/>
          <a:chExt cx="1242983" cy="1121435"/>
        </a:xfrm>
      </xdr:grpSpPr>
      <xdr:sp macro="[0]!Refresh" textlink="">
        <xdr:nvSpPr>
          <xdr:cNvPr id="5" name="Rectangle: Rounded Corners 4">
            <a:extLst>
              <a:ext uri="{FF2B5EF4-FFF2-40B4-BE49-F238E27FC236}">
                <a16:creationId xmlns:a16="http://schemas.microsoft.com/office/drawing/2014/main" id="{0249C80C-A5E1-4015-9BB2-B807D57F3A1B}"/>
              </a:ext>
            </a:extLst>
          </xdr:cNvPr>
          <xdr:cNvSpPr/>
        </xdr:nvSpPr>
        <xdr:spPr>
          <a:xfrm>
            <a:off x="2365733" y="1309831"/>
            <a:ext cx="1242983" cy="918659"/>
          </a:xfrm>
          <a:prstGeom prst="roundRect">
            <a:avLst>
              <a:gd name="adj" fmla="val 18647"/>
            </a:avLst>
          </a:prstGeom>
          <a:ln>
            <a:noFill/>
          </a:ln>
          <a:effectLst>
            <a:outerShdw blurRad="44450" dist="27940" dir="5400000" algn="ctr">
              <a:srgbClr val="000000">
                <a:alpha val="32000"/>
              </a:srgbClr>
            </a:outerShdw>
          </a:effectLst>
          <a:scene3d>
            <a:camera prst="orthographicFront">
              <a:rot lat="0" lon="0" rev="0"/>
            </a:camera>
            <a:lightRig rig="balanced" dir="t">
              <a:rot lat="0" lon="0" rev="8700000"/>
            </a:lightRig>
          </a:scene3d>
          <a:sp3d>
            <a:bevelT w="190500" h="38100"/>
          </a:sp3d>
        </xdr:spPr>
        <xdr:style>
          <a:lnRef idx="1">
            <a:schemeClr val="accent3"/>
          </a:lnRef>
          <a:fillRef idx="2">
            <a:schemeClr val="accent3"/>
          </a:fillRef>
          <a:effectRef idx="1">
            <a:schemeClr val="accent3"/>
          </a:effectRef>
          <a:fontRef idx="minor">
            <a:schemeClr val="dk1"/>
          </a:fontRef>
        </xdr:style>
        <xdr:txBody>
          <a:bodyPr vertOverflow="clip" horzOverflow="clip" rtlCol="0" anchor="t"/>
          <a:lstStyle/>
          <a:p>
            <a:pPr algn="l"/>
            <a:endParaRPr lang="en-GB" sz="1100"/>
          </a:p>
        </xdr:txBody>
      </xdr:sp>
      <xdr:pic macro="[0]!Refresh">
        <xdr:nvPicPr>
          <xdr:cNvPr id="35" name="Graphic 34">
            <a:extLst>
              <a:ext uri="{FF2B5EF4-FFF2-40B4-BE49-F238E27FC236}">
                <a16:creationId xmlns:a16="http://schemas.microsoft.com/office/drawing/2014/main" id="{E8870F04-6E20-C6D3-49C6-2C4A324D768B}"/>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flipV="1">
            <a:off x="2444151" y="1222074"/>
            <a:ext cx="1121435" cy="1121435"/>
          </a:xfrm>
          <a:prstGeom prst="rect">
            <a:avLst/>
          </a:prstGeom>
        </xdr:spPr>
      </xdr:pic>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ng Noor" refreshedDate="46109.026718171299" createdVersion="8" refreshedVersion="8" minRefreshableVersion="3" recordCount="100" xr:uid="{0A4ED771-1309-4934-959F-F71720473568}">
  <cacheSource type="worksheet">
    <worksheetSource ref="A1:L101" sheet="Database"/>
  </cacheSource>
  <cacheFields count="12">
    <cacheField name="N°" numFmtId="0">
      <sharedItems containsSemiMixedTypes="0" containsString="0" containsNumber="1" containsInteger="1" minValue="1" maxValue="100"/>
    </cacheField>
    <cacheField name="Date" numFmtId="14">
      <sharedItems containsSemiMixedTypes="0" containsNonDate="0" containsDate="1" containsString="0" minDate="2026-01-01T00:00:00" maxDate="2026-12-17T00:00:00"/>
    </cacheField>
    <cacheField name="Customer" numFmtId="0">
      <sharedItems count="18">
        <s v="AliTech"/>
        <s v="StarMall"/>
        <s v="Shopper's Hub"/>
        <s v="TechMart"/>
        <s v="FreshStart"/>
        <s v="CityEssentials"/>
        <s v="LifeGoods"/>
        <s v="RapidDeals"/>
        <s v="SuperShop"/>
        <s v="EasyMart"/>
        <s v="ValueShop"/>
        <s v="TechDeals"/>
        <s v="ShopperPlus"/>
        <s v="DailyEssentials"/>
        <s v="BrightDeals"/>
        <s v="MegaGadgets"/>
        <s v="ValueMart"/>
        <s v="EcoShop"/>
      </sharedItems>
    </cacheField>
    <cacheField name="Product" numFmtId="0">
      <sharedItems count="20">
        <s v="Keyboard"/>
        <s v="Desk Lamp"/>
        <s v="Smartphone"/>
        <s v="Mouse"/>
        <s v="Printer"/>
        <s v="Portable SSD"/>
        <s v="USB Flash Drive"/>
        <s v="Laptop"/>
        <s v="External Hard Drive"/>
        <s v="Projector"/>
        <s v="Bluetooth Speaker"/>
        <s v="Tablet"/>
        <s v="Headphones"/>
        <s v="Smartwatch"/>
        <s v="Fitness Tracker"/>
        <s v="Router"/>
        <s v="Monitor"/>
        <s v="Wireless Charger"/>
        <s v="Power Bank"/>
        <s v="Camera"/>
      </sharedItems>
    </cacheField>
    <cacheField name="Unit Price" numFmtId="164">
      <sharedItems containsSemiMixedTypes="0" containsString="0" containsNumber="1" minValue="7.33" maxValue="497"/>
    </cacheField>
    <cacheField name="Quantity" numFmtId="0">
      <sharedItems containsSemiMixedTypes="0" containsString="0" containsNumber="1" containsInteger="1" minValue="2" maxValue="120"/>
    </cacheField>
    <cacheField name="Sales" numFmtId="164">
      <sharedItems containsSemiMixedTypes="0" containsString="0" containsNumber="1" minValue="143.69999999999999" maxValue="59389.200000000004"/>
    </cacheField>
    <cacheField name="Total Profit" numFmtId="164">
      <sharedItems containsSemiMixedTypes="0" containsString="0" containsNumber="1" minValue="35.200000000000003" maxValue="11476.85"/>
    </cacheField>
    <cacheField name="Country" numFmtId="0">
      <sharedItems count="19">
        <s v="Saudi Arabia"/>
        <s v="UAE"/>
        <s v="Egypt"/>
        <s v="Algeria"/>
        <s v="Lebanon"/>
        <s v="Libya"/>
        <s v="Qatar"/>
        <s v="Jordan"/>
        <s v="Yemen"/>
        <s v="Oman"/>
        <s v="Western Sahara"/>
        <s v="Palestine"/>
        <s v="Sudan"/>
        <s v="South Sudan"/>
        <s v="Iraq"/>
        <s v="Kuwait"/>
        <s v="Tunisia"/>
        <s v="Bahrain"/>
        <s v="Syria"/>
      </sharedItems>
    </cacheField>
    <cacheField name="Region" numFmtId="0">
      <sharedItems count="4">
        <s v="Middle East"/>
        <s v="North Africa"/>
        <s v="Levant"/>
        <s v="Horn of Africa"/>
      </sharedItems>
    </cacheField>
    <cacheField name="Month" numFmtId="0">
      <sharedItems count="12">
        <s v="January"/>
        <s v="February"/>
        <s v="March"/>
        <s v="April"/>
        <s v="May"/>
        <s v="June"/>
        <s v="July"/>
        <s v="August"/>
        <s v="September"/>
        <s v="October"/>
        <s v="November"/>
        <s v="December"/>
      </sharedItems>
    </cacheField>
    <cacheField name="Week Number" numFmtId="0">
      <sharedItems containsSemiMixedTypes="0" containsString="0" containsNumber="1" containsInteger="1" minValue="1" maxValue="51" count="39">
        <n v="1"/>
        <n v="2"/>
        <n v="5"/>
        <n v="6"/>
        <n v="7"/>
        <n v="9"/>
        <n v="10"/>
        <n v="14"/>
        <n v="15"/>
        <n v="16"/>
        <n v="17"/>
        <n v="19"/>
        <n v="20"/>
        <n v="21"/>
        <n v="22"/>
        <n v="23"/>
        <n v="24"/>
        <n v="25"/>
        <n v="26"/>
        <n v="27"/>
        <n v="28"/>
        <n v="29"/>
        <n v="30"/>
        <n v="31"/>
        <n v="32"/>
        <n v="36"/>
        <n v="38"/>
        <n v="39"/>
        <n v="40"/>
        <n v="41"/>
        <n v="42"/>
        <n v="43"/>
        <n v="44"/>
        <n v="45"/>
        <n v="46"/>
        <n v="47"/>
        <n v="48"/>
        <n v="50"/>
        <n v="51"/>
      </sharedItems>
    </cacheField>
  </cacheFields>
  <extLst>
    <ext xmlns:x14="http://schemas.microsoft.com/office/spreadsheetml/2009/9/main" uri="{725AE2AE-9491-48be-B2B4-4EB974FC3084}">
      <x14:pivotCacheDefinition pivotCacheId="47048592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n v="1"/>
    <d v="2026-01-01T00:00:00"/>
    <x v="0"/>
    <x v="0"/>
    <n v="108.87"/>
    <n v="71"/>
    <n v="7729.77"/>
    <n v="1555.91"/>
    <x v="0"/>
    <x v="0"/>
    <x v="0"/>
    <x v="0"/>
  </r>
  <r>
    <n v="2"/>
    <d v="2026-01-02T00:00:00"/>
    <x v="1"/>
    <x v="1"/>
    <n v="14.99"/>
    <n v="25"/>
    <n v="374.75"/>
    <n v="41.96"/>
    <x v="1"/>
    <x v="0"/>
    <x v="0"/>
    <x v="0"/>
  </r>
  <r>
    <n v="3"/>
    <d v="2026-01-05T00:00:00"/>
    <x v="2"/>
    <x v="2"/>
    <n v="279.74"/>
    <n v="9"/>
    <n v="2517.66"/>
    <n v="597.76"/>
    <x v="2"/>
    <x v="1"/>
    <x v="0"/>
    <x v="1"/>
  </r>
  <r>
    <n v="4"/>
    <d v="2026-01-08T00:00:00"/>
    <x v="0"/>
    <x v="3"/>
    <n v="494.57"/>
    <n v="48"/>
    <n v="23739.360000000001"/>
    <n v="5261.71"/>
    <x v="3"/>
    <x v="1"/>
    <x v="0"/>
    <x v="1"/>
  </r>
  <r>
    <n v="5"/>
    <d v="2026-01-10T00:00:00"/>
    <x v="3"/>
    <x v="4"/>
    <n v="154.05000000000001"/>
    <n v="41"/>
    <n v="6316.05"/>
    <n v="1530.86"/>
    <x v="4"/>
    <x v="2"/>
    <x v="0"/>
    <x v="1"/>
  </r>
  <r>
    <n v="6"/>
    <d v="2026-02-01T00:00:00"/>
    <x v="1"/>
    <x v="0"/>
    <n v="118.71"/>
    <n v="45"/>
    <n v="5341.95"/>
    <n v="1598.26"/>
    <x v="2"/>
    <x v="1"/>
    <x v="1"/>
    <x v="2"/>
  </r>
  <r>
    <n v="7"/>
    <d v="2026-02-03T00:00:00"/>
    <x v="2"/>
    <x v="0"/>
    <n v="41.4"/>
    <n v="35"/>
    <n v="1449"/>
    <n v="167.95"/>
    <x v="5"/>
    <x v="2"/>
    <x v="1"/>
    <x v="3"/>
  </r>
  <r>
    <n v="8"/>
    <d v="2026-02-07T00:00:00"/>
    <x v="3"/>
    <x v="5"/>
    <n v="230.25"/>
    <n v="41"/>
    <n v="9440.25"/>
    <n v="1306.6400000000001"/>
    <x v="6"/>
    <x v="0"/>
    <x v="1"/>
    <x v="3"/>
  </r>
  <r>
    <n v="9"/>
    <d v="2026-02-10T00:00:00"/>
    <x v="0"/>
    <x v="0"/>
    <n v="323.89"/>
    <n v="15"/>
    <n v="4858.3499999999995"/>
    <n v="1044.9000000000001"/>
    <x v="0"/>
    <x v="0"/>
    <x v="1"/>
    <x v="4"/>
  </r>
  <r>
    <n v="10"/>
    <d v="2026-03-01T00:00:00"/>
    <x v="1"/>
    <x v="6"/>
    <n v="73.900000000000006"/>
    <n v="32"/>
    <n v="2364.8000000000002"/>
    <n v="649.15"/>
    <x v="1"/>
    <x v="0"/>
    <x v="2"/>
    <x v="5"/>
  </r>
  <r>
    <n v="11"/>
    <d v="2026-03-04T00:00:00"/>
    <x v="2"/>
    <x v="7"/>
    <n v="256.13"/>
    <n v="23"/>
    <n v="5890.99"/>
    <n v="1647.48"/>
    <x v="2"/>
    <x v="1"/>
    <x v="2"/>
    <x v="6"/>
  </r>
  <r>
    <n v="12"/>
    <d v="2026-03-06T00:00:00"/>
    <x v="0"/>
    <x v="2"/>
    <n v="347.78"/>
    <n v="65"/>
    <n v="22605.699999999997"/>
    <n v="5907.7"/>
    <x v="3"/>
    <x v="1"/>
    <x v="2"/>
    <x v="6"/>
  </r>
  <r>
    <n v="13"/>
    <d v="2026-03-08T00:00:00"/>
    <x v="1"/>
    <x v="8"/>
    <n v="463.21"/>
    <n v="97"/>
    <n v="44931.369999999995"/>
    <n v="9210.31"/>
    <x v="2"/>
    <x v="1"/>
    <x v="2"/>
    <x v="6"/>
  </r>
  <r>
    <n v="14"/>
    <d v="2026-04-02T00:00:00"/>
    <x v="2"/>
    <x v="7"/>
    <n v="482.83"/>
    <n v="87"/>
    <n v="42006.21"/>
    <n v="11238.71"/>
    <x v="7"/>
    <x v="2"/>
    <x v="3"/>
    <x v="7"/>
  </r>
  <r>
    <n v="15"/>
    <d v="2026-04-05T00:00:00"/>
    <x v="3"/>
    <x v="5"/>
    <n v="90.53"/>
    <n v="72"/>
    <n v="6518.16"/>
    <n v="663.22"/>
    <x v="4"/>
    <x v="2"/>
    <x v="3"/>
    <x v="7"/>
  </r>
  <r>
    <n v="16"/>
    <d v="2026-04-07T00:00:00"/>
    <x v="0"/>
    <x v="9"/>
    <n v="192.73"/>
    <n v="10"/>
    <n v="1927.3"/>
    <n v="222.11"/>
    <x v="0"/>
    <x v="0"/>
    <x v="3"/>
    <x v="8"/>
  </r>
  <r>
    <n v="17"/>
    <d v="2026-04-10T00:00:00"/>
    <x v="1"/>
    <x v="10"/>
    <n v="444.12"/>
    <n v="49"/>
    <n v="21761.88"/>
    <n v="5867.18"/>
    <x v="1"/>
    <x v="0"/>
    <x v="3"/>
    <x v="8"/>
  </r>
  <r>
    <n v="18"/>
    <d v="2026-04-12T00:00:00"/>
    <x v="2"/>
    <x v="8"/>
    <n v="476.79"/>
    <n v="8"/>
    <n v="3814.32"/>
    <n v="717.27"/>
    <x v="2"/>
    <x v="1"/>
    <x v="3"/>
    <x v="8"/>
  </r>
  <r>
    <n v="19"/>
    <d v="2026-04-14T00:00:00"/>
    <x v="3"/>
    <x v="11"/>
    <n v="497"/>
    <n v="21"/>
    <n v="10437"/>
    <n v="1860.89"/>
    <x v="3"/>
    <x v="1"/>
    <x v="3"/>
    <x v="9"/>
  </r>
  <r>
    <n v="20"/>
    <d v="2026-04-16T00:00:00"/>
    <x v="0"/>
    <x v="1"/>
    <n v="292.5"/>
    <n v="64"/>
    <n v="18720"/>
    <n v="2091.42"/>
    <x v="2"/>
    <x v="1"/>
    <x v="3"/>
    <x v="9"/>
  </r>
  <r>
    <n v="21"/>
    <d v="2026-04-18T00:00:00"/>
    <x v="2"/>
    <x v="12"/>
    <n v="345.7"/>
    <n v="98"/>
    <n v="33878.6"/>
    <n v="7700.14"/>
    <x v="7"/>
    <x v="2"/>
    <x v="3"/>
    <x v="9"/>
  </r>
  <r>
    <n v="22"/>
    <d v="2026-04-20T00:00:00"/>
    <x v="3"/>
    <x v="5"/>
    <n v="309.81"/>
    <n v="80"/>
    <n v="24784.799999999999"/>
    <n v="6238.83"/>
    <x v="4"/>
    <x v="2"/>
    <x v="3"/>
    <x v="10"/>
  </r>
  <r>
    <n v="23"/>
    <d v="2026-04-22T00:00:00"/>
    <x v="0"/>
    <x v="13"/>
    <n v="198.03"/>
    <n v="88"/>
    <n v="17426.64"/>
    <n v="2102.69"/>
    <x v="0"/>
    <x v="0"/>
    <x v="3"/>
    <x v="10"/>
  </r>
  <r>
    <n v="24"/>
    <d v="2026-05-05T00:00:00"/>
    <x v="1"/>
    <x v="1"/>
    <n v="398.97"/>
    <n v="84"/>
    <n v="33513.480000000003"/>
    <n v="8721.85"/>
    <x v="1"/>
    <x v="0"/>
    <x v="4"/>
    <x v="11"/>
  </r>
  <r>
    <n v="25"/>
    <d v="2026-05-07T00:00:00"/>
    <x v="2"/>
    <x v="13"/>
    <n v="79.510000000000005"/>
    <n v="19"/>
    <n v="1510.69"/>
    <n v="319.61"/>
    <x v="2"/>
    <x v="1"/>
    <x v="4"/>
    <x v="11"/>
  </r>
  <r>
    <n v="26"/>
    <d v="2026-05-09T00:00:00"/>
    <x v="3"/>
    <x v="14"/>
    <n v="110.28"/>
    <n v="71"/>
    <n v="7829.88"/>
    <n v="1101.8399999999999"/>
    <x v="3"/>
    <x v="1"/>
    <x v="4"/>
    <x v="11"/>
  </r>
  <r>
    <n v="27"/>
    <d v="2026-05-11T00:00:00"/>
    <x v="0"/>
    <x v="8"/>
    <n v="243.37"/>
    <n v="26"/>
    <n v="6327.62"/>
    <n v="667.86"/>
    <x v="5"/>
    <x v="1"/>
    <x v="4"/>
    <x v="12"/>
  </r>
  <r>
    <n v="28"/>
    <d v="2026-05-13T00:00:00"/>
    <x v="1"/>
    <x v="15"/>
    <n v="395.39"/>
    <n v="84"/>
    <n v="33212.76"/>
    <n v="9620.9599999999991"/>
    <x v="7"/>
    <x v="2"/>
    <x v="4"/>
    <x v="12"/>
  </r>
  <r>
    <n v="29"/>
    <d v="2026-05-15T00:00:00"/>
    <x v="2"/>
    <x v="9"/>
    <n v="366.38"/>
    <n v="23"/>
    <n v="8426.74"/>
    <n v="1293.47"/>
    <x v="4"/>
    <x v="2"/>
    <x v="4"/>
    <x v="12"/>
  </r>
  <r>
    <n v="30"/>
    <d v="2026-05-17T00:00:00"/>
    <x v="3"/>
    <x v="13"/>
    <n v="144.77000000000001"/>
    <n v="7"/>
    <n v="1013.3900000000001"/>
    <n v="181.81"/>
    <x v="0"/>
    <x v="0"/>
    <x v="4"/>
    <x v="12"/>
  </r>
  <r>
    <n v="31"/>
    <d v="2026-05-19T00:00:00"/>
    <x v="0"/>
    <x v="1"/>
    <n v="394.39"/>
    <n v="25"/>
    <n v="9859.75"/>
    <n v="2470.4499999999998"/>
    <x v="1"/>
    <x v="0"/>
    <x v="4"/>
    <x v="13"/>
  </r>
  <r>
    <n v="32"/>
    <d v="2026-05-21T00:00:00"/>
    <x v="1"/>
    <x v="16"/>
    <n v="16.510000000000002"/>
    <n v="83"/>
    <n v="1370.3300000000002"/>
    <n v="372.32"/>
    <x v="2"/>
    <x v="1"/>
    <x v="4"/>
    <x v="13"/>
  </r>
  <r>
    <n v="33"/>
    <d v="2026-05-23T00:00:00"/>
    <x v="2"/>
    <x v="7"/>
    <n v="245.98"/>
    <n v="5"/>
    <n v="1229.8999999999999"/>
    <n v="216.79"/>
    <x v="3"/>
    <x v="1"/>
    <x v="4"/>
    <x v="13"/>
  </r>
  <r>
    <n v="34"/>
    <d v="2026-05-25T00:00:00"/>
    <x v="3"/>
    <x v="17"/>
    <n v="8.59"/>
    <n v="40"/>
    <n v="343.6"/>
    <n v="38.68"/>
    <x v="2"/>
    <x v="1"/>
    <x v="4"/>
    <x v="14"/>
  </r>
  <r>
    <n v="35"/>
    <d v="2026-05-27T00:00:00"/>
    <x v="0"/>
    <x v="0"/>
    <n v="216.97"/>
    <n v="41"/>
    <n v="8895.77"/>
    <n v="988.29"/>
    <x v="7"/>
    <x v="2"/>
    <x v="4"/>
    <x v="14"/>
  </r>
  <r>
    <n v="36"/>
    <d v="2026-05-29T00:00:00"/>
    <x v="1"/>
    <x v="10"/>
    <n v="154.37"/>
    <n v="42"/>
    <n v="6483.54"/>
    <n v="1756.56"/>
    <x v="4"/>
    <x v="2"/>
    <x v="4"/>
    <x v="14"/>
  </r>
  <r>
    <n v="37"/>
    <d v="2026-06-01T00:00:00"/>
    <x v="2"/>
    <x v="2"/>
    <n v="133.82"/>
    <n v="12"/>
    <n v="1605.84"/>
    <n v="444.39"/>
    <x v="0"/>
    <x v="0"/>
    <x v="5"/>
    <x v="15"/>
  </r>
  <r>
    <n v="38"/>
    <d v="2026-06-03T00:00:00"/>
    <x v="3"/>
    <x v="10"/>
    <n v="62.17"/>
    <n v="38"/>
    <n v="2362.46"/>
    <n v="456"/>
    <x v="1"/>
    <x v="0"/>
    <x v="5"/>
    <x v="15"/>
  </r>
  <r>
    <n v="39"/>
    <d v="2026-06-05T00:00:00"/>
    <x v="0"/>
    <x v="15"/>
    <n v="489.76"/>
    <n v="34"/>
    <n v="16651.84"/>
    <n v="4086.81"/>
    <x v="2"/>
    <x v="1"/>
    <x v="5"/>
    <x v="15"/>
  </r>
  <r>
    <n v="40"/>
    <d v="2026-06-07T00:00:00"/>
    <x v="1"/>
    <x v="1"/>
    <n v="82.51"/>
    <n v="70"/>
    <n v="5775.7000000000007"/>
    <n v="819.48"/>
    <x v="8"/>
    <x v="0"/>
    <x v="5"/>
    <x v="15"/>
  </r>
  <r>
    <n v="41"/>
    <d v="2026-06-09T00:00:00"/>
    <x v="2"/>
    <x v="10"/>
    <n v="456.74"/>
    <n v="22"/>
    <n v="10048.280000000001"/>
    <n v="2509.0500000000002"/>
    <x v="2"/>
    <x v="1"/>
    <x v="5"/>
    <x v="16"/>
  </r>
  <r>
    <n v="42"/>
    <d v="2026-06-10T00:00:00"/>
    <x v="3"/>
    <x v="17"/>
    <n v="105.66"/>
    <n v="83"/>
    <n v="8769.7799999999988"/>
    <n v="1866.03"/>
    <x v="7"/>
    <x v="2"/>
    <x v="5"/>
    <x v="16"/>
  </r>
  <r>
    <n v="43"/>
    <d v="2026-06-12T00:00:00"/>
    <x v="0"/>
    <x v="17"/>
    <n v="297.55"/>
    <n v="31"/>
    <n v="9224.0500000000011"/>
    <n v="974.28"/>
    <x v="4"/>
    <x v="2"/>
    <x v="5"/>
    <x v="16"/>
  </r>
  <r>
    <n v="44"/>
    <d v="2026-06-14T00:00:00"/>
    <x v="1"/>
    <x v="0"/>
    <n v="9.6999999999999993"/>
    <n v="93"/>
    <n v="902.09999999999991"/>
    <n v="207.12"/>
    <x v="0"/>
    <x v="0"/>
    <x v="5"/>
    <x v="16"/>
  </r>
  <r>
    <n v="45"/>
    <d v="2026-06-16T00:00:00"/>
    <x v="2"/>
    <x v="18"/>
    <n v="217.66"/>
    <n v="85"/>
    <n v="18501.099999999999"/>
    <n v="5303.18"/>
    <x v="1"/>
    <x v="0"/>
    <x v="5"/>
    <x v="17"/>
  </r>
  <r>
    <n v="46"/>
    <d v="2026-06-18T00:00:00"/>
    <x v="3"/>
    <x v="17"/>
    <n v="424.73"/>
    <n v="64"/>
    <n v="27182.720000000001"/>
    <n v="4546.59"/>
    <x v="9"/>
    <x v="0"/>
    <x v="5"/>
    <x v="17"/>
  </r>
  <r>
    <n v="47"/>
    <d v="2026-06-20T00:00:00"/>
    <x v="0"/>
    <x v="19"/>
    <n v="250.93"/>
    <n v="52"/>
    <n v="13048.36"/>
    <n v="2802.37"/>
    <x v="3"/>
    <x v="1"/>
    <x v="5"/>
    <x v="17"/>
  </r>
  <r>
    <n v="48"/>
    <d v="2026-06-22T00:00:00"/>
    <x v="1"/>
    <x v="15"/>
    <n v="340.54"/>
    <n v="60"/>
    <n v="20432.400000000001"/>
    <n v="3880.07"/>
    <x v="2"/>
    <x v="1"/>
    <x v="5"/>
    <x v="18"/>
  </r>
  <r>
    <n v="49"/>
    <d v="2026-06-24T00:00:00"/>
    <x v="0"/>
    <x v="15"/>
    <n v="205.69"/>
    <n v="23"/>
    <n v="4730.87"/>
    <n v="770.78"/>
    <x v="7"/>
    <x v="2"/>
    <x v="5"/>
    <x v="18"/>
  </r>
  <r>
    <n v="50"/>
    <d v="2026-06-26T00:00:00"/>
    <x v="1"/>
    <x v="13"/>
    <n v="355.06"/>
    <n v="60"/>
    <n v="21303.599999999999"/>
    <n v="4040.29"/>
    <x v="4"/>
    <x v="2"/>
    <x v="5"/>
    <x v="18"/>
  </r>
  <r>
    <n v="51"/>
    <d v="2026-07-01T00:00:00"/>
    <x v="2"/>
    <x v="12"/>
    <n v="47.9"/>
    <n v="3"/>
    <n v="143.69999999999999"/>
    <n v="35.200000000000003"/>
    <x v="9"/>
    <x v="0"/>
    <x v="6"/>
    <x v="19"/>
  </r>
  <r>
    <n v="52"/>
    <d v="2026-07-03T00:00:00"/>
    <x v="0"/>
    <x v="19"/>
    <n v="154.86000000000001"/>
    <n v="95"/>
    <n v="14711.7"/>
    <n v="3263.14"/>
    <x v="3"/>
    <x v="1"/>
    <x v="6"/>
    <x v="19"/>
  </r>
  <r>
    <n v="53"/>
    <d v="2026-07-05T00:00:00"/>
    <x v="1"/>
    <x v="6"/>
    <n v="124.48"/>
    <n v="100"/>
    <n v="12448"/>
    <n v="1583.47"/>
    <x v="3"/>
    <x v="1"/>
    <x v="6"/>
    <x v="19"/>
  </r>
  <r>
    <n v="54"/>
    <d v="2026-07-07T00:00:00"/>
    <x v="2"/>
    <x v="12"/>
    <n v="455.65"/>
    <n v="7"/>
    <n v="3189.5499999999997"/>
    <n v="733.81"/>
    <x v="8"/>
    <x v="0"/>
    <x v="6"/>
    <x v="20"/>
  </r>
  <r>
    <n v="55"/>
    <d v="2026-07-09T00:00:00"/>
    <x v="3"/>
    <x v="1"/>
    <n v="116.49"/>
    <n v="74"/>
    <n v="8620.26"/>
    <n v="2218.9499999999998"/>
    <x v="3"/>
    <x v="1"/>
    <x v="6"/>
    <x v="20"/>
  </r>
  <r>
    <n v="56"/>
    <d v="2026-07-11T00:00:00"/>
    <x v="0"/>
    <x v="5"/>
    <n v="388.59"/>
    <n v="27"/>
    <n v="10491.929999999998"/>
    <n v="2943.5"/>
    <x v="2"/>
    <x v="1"/>
    <x v="6"/>
    <x v="20"/>
  </r>
  <r>
    <n v="57"/>
    <d v="2026-07-13T00:00:00"/>
    <x v="1"/>
    <x v="1"/>
    <n v="118.31"/>
    <n v="53"/>
    <n v="6270.43"/>
    <n v="1695.73"/>
    <x v="10"/>
    <x v="1"/>
    <x v="6"/>
    <x v="21"/>
  </r>
  <r>
    <n v="58"/>
    <d v="2026-07-15T00:00:00"/>
    <x v="2"/>
    <x v="8"/>
    <n v="435.09"/>
    <n v="80"/>
    <n v="34807.199999999997"/>
    <n v="8272.34"/>
    <x v="3"/>
    <x v="1"/>
    <x v="6"/>
    <x v="21"/>
  </r>
  <r>
    <n v="59"/>
    <d v="2026-07-17T00:00:00"/>
    <x v="3"/>
    <x v="2"/>
    <n v="211.04"/>
    <n v="30"/>
    <n v="6331.2"/>
    <n v="1001.46"/>
    <x v="3"/>
    <x v="1"/>
    <x v="6"/>
    <x v="21"/>
  </r>
  <r>
    <n v="60"/>
    <d v="2026-07-19T00:00:00"/>
    <x v="0"/>
    <x v="0"/>
    <n v="444.11"/>
    <n v="54"/>
    <n v="23981.940000000002"/>
    <n v="3183.02"/>
    <x v="11"/>
    <x v="0"/>
    <x v="6"/>
    <x v="21"/>
  </r>
  <r>
    <n v="61"/>
    <d v="2026-07-21T00:00:00"/>
    <x v="2"/>
    <x v="13"/>
    <n v="330.91"/>
    <n v="24"/>
    <n v="7941.84"/>
    <n v="1299.6400000000001"/>
    <x v="3"/>
    <x v="1"/>
    <x v="6"/>
    <x v="22"/>
  </r>
  <r>
    <n v="62"/>
    <d v="2026-07-23T00:00:00"/>
    <x v="3"/>
    <x v="8"/>
    <n v="461.53"/>
    <n v="46"/>
    <n v="21230.379999999997"/>
    <n v="2577.8000000000002"/>
    <x v="12"/>
    <x v="3"/>
    <x v="6"/>
    <x v="22"/>
  </r>
  <r>
    <n v="63"/>
    <d v="2026-07-25T00:00:00"/>
    <x v="0"/>
    <x v="12"/>
    <n v="202.13"/>
    <n v="53"/>
    <n v="10712.89"/>
    <n v="2000.92"/>
    <x v="13"/>
    <x v="3"/>
    <x v="6"/>
    <x v="22"/>
  </r>
  <r>
    <n v="64"/>
    <d v="2026-07-27T00:00:00"/>
    <x v="1"/>
    <x v="4"/>
    <n v="149.88999999999999"/>
    <n v="71"/>
    <n v="10642.189999999999"/>
    <n v="2316.2399999999998"/>
    <x v="3"/>
    <x v="1"/>
    <x v="6"/>
    <x v="23"/>
  </r>
  <r>
    <n v="65"/>
    <d v="2026-07-29T00:00:00"/>
    <x v="2"/>
    <x v="0"/>
    <n v="329.52"/>
    <n v="37"/>
    <n v="12192.24"/>
    <n v="3391.73"/>
    <x v="3"/>
    <x v="1"/>
    <x v="6"/>
    <x v="23"/>
  </r>
  <r>
    <n v="66"/>
    <d v="2026-07-31T00:00:00"/>
    <x v="4"/>
    <x v="15"/>
    <n v="151.63999999999999"/>
    <n v="34"/>
    <n v="5155.7599999999993"/>
    <n v="519.52"/>
    <x v="14"/>
    <x v="0"/>
    <x v="6"/>
    <x v="23"/>
  </r>
  <r>
    <n v="67"/>
    <d v="2026-08-01T00:00:00"/>
    <x v="5"/>
    <x v="19"/>
    <n v="490"/>
    <n v="95"/>
    <n v="46550"/>
    <n v="6676.33"/>
    <x v="14"/>
    <x v="0"/>
    <x v="7"/>
    <x v="23"/>
  </r>
  <r>
    <n v="68"/>
    <d v="2026-08-03T00:00:00"/>
    <x v="6"/>
    <x v="15"/>
    <n v="257.55"/>
    <n v="38"/>
    <n v="9786.9"/>
    <n v="1541.49"/>
    <x v="2"/>
    <x v="1"/>
    <x v="7"/>
    <x v="24"/>
  </r>
  <r>
    <n v="69"/>
    <d v="2026-08-05T00:00:00"/>
    <x v="7"/>
    <x v="7"/>
    <n v="442.86"/>
    <n v="65"/>
    <n v="28785.9"/>
    <n v="5660.28"/>
    <x v="3"/>
    <x v="1"/>
    <x v="7"/>
    <x v="24"/>
  </r>
  <r>
    <n v="70"/>
    <d v="2026-08-07T00:00:00"/>
    <x v="8"/>
    <x v="6"/>
    <n v="459.77"/>
    <n v="64"/>
    <n v="29425.279999999999"/>
    <n v="8347.85"/>
    <x v="2"/>
    <x v="1"/>
    <x v="7"/>
    <x v="24"/>
  </r>
  <r>
    <n v="71"/>
    <d v="2026-09-01T00:00:00"/>
    <x v="9"/>
    <x v="5"/>
    <n v="219.86"/>
    <n v="69"/>
    <n v="15170.34"/>
    <n v="3820.08"/>
    <x v="3"/>
    <x v="1"/>
    <x v="8"/>
    <x v="25"/>
  </r>
  <r>
    <n v="72"/>
    <d v="2026-09-05T00:00:00"/>
    <x v="10"/>
    <x v="8"/>
    <n v="308.70999999999998"/>
    <n v="10"/>
    <n v="3087.1"/>
    <n v="655.75"/>
    <x v="2"/>
    <x v="1"/>
    <x v="8"/>
    <x v="25"/>
  </r>
  <r>
    <n v="73"/>
    <d v="2026-09-17T00:00:00"/>
    <x v="11"/>
    <x v="14"/>
    <n v="257.07"/>
    <n v="32"/>
    <n v="8226.24"/>
    <n v="2180.14"/>
    <x v="2"/>
    <x v="1"/>
    <x v="8"/>
    <x v="26"/>
  </r>
  <r>
    <n v="74"/>
    <d v="2026-09-19T00:00:00"/>
    <x v="12"/>
    <x v="13"/>
    <n v="215.32"/>
    <n v="87"/>
    <n v="18732.84"/>
    <n v="4877.93"/>
    <x v="10"/>
    <x v="1"/>
    <x v="8"/>
    <x v="26"/>
  </r>
  <r>
    <n v="75"/>
    <d v="2026-09-20T00:00:00"/>
    <x v="13"/>
    <x v="1"/>
    <n v="398.01"/>
    <n v="48"/>
    <n v="19104.48"/>
    <n v="5575.04"/>
    <x v="3"/>
    <x v="1"/>
    <x v="8"/>
    <x v="26"/>
  </r>
  <r>
    <n v="76"/>
    <d v="2026-09-20T00:00:00"/>
    <x v="14"/>
    <x v="5"/>
    <n v="81.41"/>
    <n v="48"/>
    <n v="3907.68"/>
    <n v="405.65"/>
    <x v="11"/>
    <x v="0"/>
    <x v="8"/>
    <x v="26"/>
  </r>
  <r>
    <n v="77"/>
    <d v="2026-09-25T00:00:00"/>
    <x v="15"/>
    <x v="12"/>
    <n v="474.08"/>
    <n v="43"/>
    <n v="20385.439999999999"/>
    <n v="4951.41"/>
    <x v="11"/>
    <x v="0"/>
    <x v="8"/>
    <x v="27"/>
  </r>
  <r>
    <n v="78"/>
    <d v="2026-09-25T00:00:00"/>
    <x v="6"/>
    <x v="11"/>
    <n v="141.16"/>
    <n v="8"/>
    <n v="1129.28"/>
    <n v="315.36"/>
    <x v="3"/>
    <x v="1"/>
    <x v="8"/>
    <x v="27"/>
  </r>
  <r>
    <n v="79"/>
    <d v="2026-09-26T00:00:00"/>
    <x v="16"/>
    <x v="3"/>
    <n v="484.42"/>
    <n v="36"/>
    <n v="17439.12"/>
    <n v="4893.78"/>
    <x v="3"/>
    <x v="1"/>
    <x v="8"/>
    <x v="27"/>
  </r>
  <r>
    <n v="80"/>
    <d v="2026-09-27T00:00:00"/>
    <x v="5"/>
    <x v="11"/>
    <n v="484.53"/>
    <n v="94"/>
    <n v="45545.82"/>
    <n v="11476.85"/>
    <x v="12"/>
    <x v="3"/>
    <x v="8"/>
    <x v="27"/>
  </r>
  <r>
    <n v="81"/>
    <d v="2026-09-29T00:00:00"/>
    <x v="7"/>
    <x v="11"/>
    <n v="389.92"/>
    <n v="41"/>
    <n v="15986.720000000001"/>
    <n v="3120.26"/>
    <x v="13"/>
    <x v="3"/>
    <x v="8"/>
    <x v="28"/>
  </r>
  <r>
    <n v="82"/>
    <d v="2026-10-10T00:00:00"/>
    <x v="17"/>
    <x v="10"/>
    <n v="329.58"/>
    <n v="94"/>
    <n v="30980.519999999997"/>
    <n v="8740.64"/>
    <x v="3"/>
    <x v="1"/>
    <x v="9"/>
    <x v="29"/>
  </r>
  <r>
    <n v="83"/>
    <d v="2026-10-14T00:00:00"/>
    <x v="1"/>
    <x v="10"/>
    <n v="467.19"/>
    <n v="73"/>
    <n v="34104.870000000003"/>
    <n v="5347"/>
    <x v="15"/>
    <x v="0"/>
    <x v="9"/>
    <x v="30"/>
  </r>
  <r>
    <n v="84"/>
    <d v="2026-10-20T00:00:00"/>
    <x v="2"/>
    <x v="2"/>
    <n v="365.96"/>
    <n v="100"/>
    <n v="36596"/>
    <n v="6814.21"/>
    <x v="3"/>
    <x v="1"/>
    <x v="9"/>
    <x v="31"/>
  </r>
  <r>
    <n v="85"/>
    <d v="2026-11-01T00:00:00"/>
    <x v="3"/>
    <x v="18"/>
    <n v="42.68"/>
    <n v="99"/>
    <n v="4225.32"/>
    <n v="1254.96"/>
    <x v="3"/>
    <x v="1"/>
    <x v="10"/>
    <x v="32"/>
  </r>
  <r>
    <n v="86"/>
    <d v="2026-11-02T00:00:00"/>
    <x v="0"/>
    <x v="18"/>
    <n v="31.73"/>
    <n v="79"/>
    <n v="2506.67"/>
    <n v="390.27"/>
    <x v="16"/>
    <x v="1"/>
    <x v="10"/>
    <x v="33"/>
  </r>
  <r>
    <n v="87"/>
    <d v="2026-11-02T00:00:00"/>
    <x v="2"/>
    <x v="10"/>
    <n v="354.86"/>
    <n v="8"/>
    <n v="2838.88"/>
    <n v="785.96"/>
    <x v="15"/>
    <x v="0"/>
    <x v="10"/>
    <x v="33"/>
  </r>
  <r>
    <n v="88"/>
    <d v="2026-11-03T00:00:00"/>
    <x v="3"/>
    <x v="11"/>
    <n v="262.32"/>
    <n v="2"/>
    <n v="524.64"/>
    <n v="118.76"/>
    <x v="3"/>
    <x v="1"/>
    <x v="10"/>
    <x v="33"/>
  </r>
  <r>
    <n v="89"/>
    <d v="2026-11-08T00:00:00"/>
    <x v="0"/>
    <x v="0"/>
    <n v="160.91"/>
    <n v="100"/>
    <n v="16091"/>
    <n v="1312.82"/>
    <x v="3"/>
    <x v="1"/>
    <x v="10"/>
    <x v="33"/>
  </r>
  <r>
    <n v="90"/>
    <d v="2026-11-15T00:00:00"/>
    <x v="1"/>
    <x v="11"/>
    <n v="252.81"/>
    <n v="99"/>
    <n v="25028.19"/>
    <n v="6539.14"/>
    <x v="17"/>
    <x v="0"/>
    <x v="10"/>
    <x v="34"/>
  </r>
  <r>
    <n v="91"/>
    <d v="2026-11-20T00:00:00"/>
    <x v="2"/>
    <x v="4"/>
    <n v="494.91"/>
    <n v="120"/>
    <n v="59389.200000000004"/>
    <n v="6524.36"/>
    <x v="17"/>
    <x v="0"/>
    <x v="10"/>
    <x v="35"/>
  </r>
  <r>
    <n v="92"/>
    <d v="2026-11-21T00:00:00"/>
    <x v="3"/>
    <x v="12"/>
    <n v="228.21"/>
    <n v="97"/>
    <n v="22136.37"/>
    <n v="5350.5"/>
    <x v="10"/>
    <x v="1"/>
    <x v="10"/>
    <x v="35"/>
  </r>
  <r>
    <n v="93"/>
    <d v="2026-11-25T00:00:00"/>
    <x v="0"/>
    <x v="5"/>
    <n v="243.82"/>
    <n v="96"/>
    <n v="23406.720000000001"/>
    <n v="6223.1"/>
    <x v="16"/>
    <x v="1"/>
    <x v="10"/>
    <x v="36"/>
  </r>
  <r>
    <n v="94"/>
    <d v="2026-11-28T00:00:00"/>
    <x v="1"/>
    <x v="15"/>
    <n v="417.56"/>
    <n v="99"/>
    <n v="41338.44"/>
    <n v="4203.12"/>
    <x v="3"/>
    <x v="1"/>
    <x v="10"/>
    <x v="36"/>
  </r>
  <r>
    <n v="95"/>
    <d v="2026-11-29T00:00:00"/>
    <x v="2"/>
    <x v="4"/>
    <n v="343.46"/>
    <n v="97"/>
    <n v="33315.619999999995"/>
    <n v="6520.91"/>
    <x v="3"/>
    <x v="1"/>
    <x v="10"/>
    <x v="36"/>
  </r>
  <r>
    <n v="96"/>
    <d v="2026-12-07T00:00:00"/>
    <x v="3"/>
    <x v="1"/>
    <n v="7.33"/>
    <n v="30"/>
    <n v="219.9"/>
    <n v="53.53"/>
    <x v="18"/>
    <x v="0"/>
    <x v="11"/>
    <x v="37"/>
  </r>
  <r>
    <n v="97"/>
    <d v="2026-12-09T00:00:00"/>
    <x v="0"/>
    <x v="16"/>
    <n v="272.64999999999998"/>
    <n v="25"/>
    <n v="6816.2499999999991"/>
    <n v="1966.28"/>
    <x v="3"/>
    <x v="1"/>
    <x v="11"/>
    <x v="37"/>
  </r>
  <r>
    <n v="98"/>
    <d v="2026-12-13T00:00:00"/>
    <x v="1"/>
    <x v="10"/>
    <n v="98.78"/>
    <n v="7"/>
    <n v="691.46"/>
    <n v="165.55"/>
    <x v="18"/>
    <x v="0"/>
    <x v="11"/>
    <x v="37"/>
  </r>
  <r>
    <n v="99"/>
    <d v="2026-12-15T00:00:00"/>
    <x v="2"/>
    <x v="15"/>
    <n v="36.14"/>
    <n v="52"/>
    <n v="1879.28"/>
    <n v="441.35"/>
    <x v="16"/>
    <x v="1"/>
    <x v="11"/>
    <x v="38"/>
  </r>
  <r>
    <n v="100"/>
    <d v="2026-12-16T00:00:00"/>
    <x v="3"/>
    <x v="14"/>
    <n v="323.49"/>
    <n v="86"/>
    <n v="27820.14"/>
    <n v="4153.8500000000004"/>
    <x v="16"/>
    <x v="1"/>
    <x v="11"/>
    <x v="3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43FB1CB-E58E-4F3F-9908-8894F36A7904}" name="Sales&amp; Profit"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2" firstHeaderRow="0" firstDataRow="1" firstDataCol="0"/>
  <pivotFields count="12">
    <pivotField showAll="0"/>
    <pivotField numFmtId="14" showAll="0"/>
    <pivotField showAll="0"/>
    <pivotField showAll="0"/>
    <pivotField numFmtId="164" showAll="0"/>
    <pivotField showAll="0"/>
    <pivotField dataField="1" numFmtId="164" showAll="0"/>
    <pivotField dataField="1" numFmtId="164" showAll="0"/>
    <pivotField showAll="0"/>
    <pivotField showAll="0">
      <items count="5">
        <item x="3"/>
        <item x="2"/>
        <item x="0"/>
        <item x="1"/>
        <item t="default"/>
      </items>
    </pivotField>
    <pivotField showAll="0">
      <items count="13">
        <item x="0"/>
        <item x="1"/>
        <item x="2"/>
        <item x="3"/>
        <item x="4"/>
        <item x="5"/>
        <item x="6"/>
        <item x="7"/>
        <item x="8"/>
        <item x="9"/>
        <item x="10"/>
        <item x="11"/>
        <item t="default"/>
      </items>
    </pivotField>
    <pivotField showAll="0"/>
  </pivotFields>
  <rowItems count="1">
    <i/>
  </rowItems>
  <colFields count="1">
    <field x="-2"/>
  </colFields>
  <colItems count="2">
    <i>
      <x/>
    </i>
    <i i="1">
      <x v="1"/>
    </i>
  </colItems>
  <dataFields count="2">
    <dataField name="Sum of Sales" fld="6" baseField="0" baseItem="0" numFmtId="164"/>
    <dataField name="Sum of Total Profit" fld="7"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41A4505-AECB-4DDE-B6CB-88E32E185873}" name="Top 10"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J4:K14" firstHeaderRow="1" firstDataRow="1" firstDataCol="1"/>
  <pivotFields count="12">
    <pivotField showAll="0"/>
    <pivotField numFmtId="14" showAll="0"/>
    <pivotField showAll="0"/>
    <pivotField axis="axisRow" showAll="0" measureFilter="1" sortType="descending">
      <items count="21">
        <item x="10"/>
        <item x="19"/>
        <item x="1"/>
        <item x="8"/>
        <item x="14"/>
        <item x="12"/>
        <item x="0"/>
        <item x="7"/>
        <item x="16"/>
        <item x="3"/>
        <item x="5"/>
        <item x="18"/>
        <item x="4"/>
        <item x="9"/>
        <item x="15"/>
        <item x="2"/>
        <item x="13"/>
        <item x="11"/>
        <item x="6"/>
        <item x="17"/>
        <item t="default"/>
      </items>
      <autoSortScope>
        <pivotArea dataOnly="0" outline="0" fieldPosition="0">
          <references count="1">
            <reference field="4294967294" count="1" selected="0">
              <x v="0"/>
            </reference>
          </references>
        </pivotArea>
      </autoSortScope>
    </pivotField>
    <pivotField numFmtId="164" showAll="0"/>
    <pivotField showAll="0"/>
    <pivotField dataField="1" numFmtId="164" showAll="0"/>
    <pivotField numFmtId="164" showAll="0"/>
    <pivotField showAll="0"/>
    <pivotField showAll="0">
      <items count="5">
        <item x="3"/>
        <item x="2"/>
        <item x="0"/>
        <item x="1"/>
        <item t="default"/>
      </items>
    </pivotField>
    <pivotField showAll="0">
      <items count="13">
        <item x="0"/>
        <item x="1"/>
        <item x="2"/>
        <item x="3"/>
        <item x="4"/>
        <item x="5"/>
        <item x="6"/>
        <item x="7"/>
        <item x="8"/>
        <item x="9"/>
        <item x="10"/>
        <item x="11"/>
        <item t="default"/>
      </items>
    </pivotField>
    <pivotField showAll="0"/>
  </pivotFields>
  <rowFields count="1">
    <field x="3"/>
  </rowFields>
  <rowItems count="10">
    <i>
      <x v="14"/>
    </i>
    <i>
      <x v="3"/>
    </i>
    <i>
      <x v="12"/>
    </i>
    <i>
      <x/>
    </i>
    <i>
      <x v="2"/>
    </i>
    <i>
      <x v="17"/>
    </i>
    <i>
      <x v="10"/>
    </i>
    <i>
      <x v="5"/>
    </i>
    <i>
      <x v="6"/>
    </i>
    <i>
      <x v="7"/>
    </i>
  </rowItems>
  <colItems count="1">
    <i/>
  </colItems>
  <dataFields count="1">
    <dataField name="Sum of Sales" fld="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3"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9A94F7D-05B4-4B1F-B901-F69A29E4E8FC}" name="Weekly"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S2:T42" firstHeaderRow="1" firstDataRow="1" firstDataCol="1"/>
  <pivotFields count="12">
    <pivotField showAll="0"/>
    <pivotField numFmtId="14" showAll="0"/>
    <pivotField showAll="0"/>
    <pivotField showAll="0"/>
    <pivotField numFmtId="164" showAll="0"/>
    <pivotField showAll="0"/>
    <pivotField dataField="1" numFmtId="164" showAll="0"/>
    <pivotField numFmtId="164" showAll="0"/>
    <pivotField showAll="0"/>
    <pivotField showAll="0">
      <items count="5">
        <item x="3"/>
        <item x="2"/>
        <item x="0"/>
        <item x="1"/>
        <item t="default"/>
      </items>
    </pivotField>
    <pivotField showAll="0">
      <items count="13">
        <item x="0"/>
        <item x="1"/>
        <item x="2"/>
        <item x="3"/>
        <item x="4"/>
        <item x="5"/>
        <item x="6"/>
        <item x="7"/>
        <item x="8"/>
        <item x="9"/>
        <item x="10"/>
        <item x="11"/>
        <item t="default"/>
      </items>
    </pivotField>
    <pivotField axis="axisRow" showAll="0">
      <items count="40">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t="default"/>
      </items>
    </pivotField>
  </pivotFields>
  <rowFields count="1">
    <field x="11"/>
  </rowFields>
  <rowItems count="4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t="grand">
      <x/>
    </i>
  </rowItems>
  <colItems count="1">
    <i/>
  </colItems>
  <dataFields count="1">
    <dataField name="Sum of Sales" fld="6" baseField="0" baseItem="0" numFmtId="164"/>
  </dataFields>
  <chartFormats count="2">
    <chartFormat chart="0"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91BFF1F-4DE7-4050-A182-FF7FBCC25A67}" name="Country"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Y2:Z21" firstHeaderRow="1" firstDataRow="1" firstDataCol="1"/>
  <pivotFields count="12">
    <pivotField showAll="0"/>
    <pivotField numFmtId="14" showAll="0"/>
    <pivotField showAll="0"/>
    <pivotField showAll="0"/>
    <pivotField numFmtId="164" showAll="0"/>
    <pivotField showAll="0"/>
    <pivotField dataField="1" numFmtId="164" showAll="0"/>
    <pivotField numFmtId="164" showAll="0"/>
    <pivotField axis="axisRow" showAll="0">
      <items count="20">
        <item x="3"/>
        <item x="17"/>
        <item x="2"/>
        <item x="14"/>
        <item x="7"/>
        <item x="15"/>
        <item x="4"/>
        <item x="5"/>
        <item x="9"/>
        <item x="11"/>
        <item x="6"/>
        <item x="0"/>
        <item x="13"/>
        <item x="12"/>
        <item x="18"/>
        <item x="16"/>
        <item x="1"/>
        <item x="10"/>
        <item x="8"/>
        <item t="default"/>
      </items>
    </pivotField>
    <pivotField showAll="0"/>
    <pivotField showAll="0"/>
    <pivotField showAll="0"/>
  </pivotFields>
  <rowFields count="1">
    <field x="8"/>
  </rowFields>
  <rowItems count="19">
    <i>
      <x/>
    </i>
    <i>
      <x v="1"/>
    </i>
    <i>
      <x v="2"/>
    </i>
    <i>
      <x v="3"/>
    </i>
    <i>
      <x v="4"/>
    </i>
    <i>
      <x v="5"/>
    </i>
    <i>
      <x v="6"/>
    </i>
    <i>
      <x v="7"/>
    </i>
    <i>
      <x v="8"/>
    </i>
    <i>
      <x v="9"/>
    </i>
    <i>
      <x v="10"/>
    </i>
    <i>
      <x v="11"/>
    </i>
    <i>
      <x v="12"/>
    </i>
    <i>
      <x v="13"/>
    </i>
    <i>
      <x v="14"/>
    </i>
    <i>
      <x v="15"/>
    </i>
    <i>
      <x v="16"/>
    </i>
    <i>
      <x v="17"/>
    </i>
    <i>
      <x v="18"/>
    </i>
  </rowItems>
  <colItems count="1">
    <i/>
  </colItems>
  <dataFields count="1">
    <dataField name="Sum of Sales" fld="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B007C1E-15DB-476E-ACE9-5EB04F1A5114}" name="Region"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P2:Q6" firstHeaderRow="1" firstDataRow="1" firstDataCol="1"/>
  <pivotFields count="12">
    <pivotField showAll="0"/>
    <pivotField numFmtId="14" showAll="0"/>
    <pivotField showAll="0"/>
    <pivotField showAll="0"/>
    <pivotField numFmtId="164" showAll="0"/>
    <pivotField showAll="0"/>
    <pivotField dataField="1" numFmtId="164" showAll="0"/>
    <pivotField numFmtId="164" showAll="0"/>
    <pivotField showAll="0"/>
    <pivotField axis="axisRow" showAll="0">
      <items count="5">
        <item x="3"/>
        <item x="2"/>
        <item x="0"/>
        <item x="1"/>
        <item t="default"/>
      </items>
    </pivotField>
    <pivotField showAll="0"/>
    <pivotField showAll="0"/>
  </pivotFields>
  <rowFields count="1">
    <field x="9"/>
  </rowFields>
  <rowItems count="4">
    <i>
      <x/>
    </i>
    <i>
      <x v="1"/>
    </i>
    <i>
      <x v="2"/>
    </i>
    <i>
      <x v="3"/>
    </i>
  </rowItems>
  <colItems count="1">
    <i/>
  </colItems>
  <dataFields count="1">
    <dataField name="Sum of Sales" fld="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B978727-712D-480F-AF98-60DC60A1B4D8}" name="Top 5 Customers"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M2:N7" firstHeaderRow="1" firstDataRow="1" firstDataCol="1"/>
  <pivotFields count="12">
    <pivotField showAll="0"/>
    <pivotField numFmtId="14" showAll="0"/>
    <pivotField axis="axisRow" showAll="0" measureFilter="1" sortType="descending">
      <items count="19">
        <item x="0"/>
        <item x="14"/>
        <item x="5"/>
        <item x="13"/>
        <item x="9"/>
        <item x="17"/>
        <item x="4"/>
        <item x="6"/>
        <item x="15"/>
        <item x="7"/>
        <item x="12"/>
        <item x="2"/>
        <item x="1"/>
        <item x="8"/>
        <item x="11"/>
        <item x="3"/>
        <item x="16"/>
        <item x="10"/>
        <item t="default"/>
      </items>
      <autoSortScope>
        <pivotArea dataOnly="0" outline="0" fieldPosition="0">
          <references count="1">
            <reference field="4294967294" count="1" selected="0">
              <x v="0"/>
            </reference>
          </references>
        </pivotArea>
      </autoSortScope>
    </pivotField>
    <pivotField showAll="0"/>
    <pivotField numFmtId="164" showAll="0"/>
    <pivotField showAll="0"/>
    <pivotField dataField="1" numFmtId="164" showAll="0"/>
    <pivotField numFmtId="164" showAll="0"/>
    <pivotField showAll="0"/>
    <pivotField showAll="0">
      <items count="5">
        <item x="3"/>
        <item x="2"/>
        <item x="0"/>
        <item x="1"/>
        <item t="default"/>
      </items>
    </pivotField>
    <pivotField showAll="0">
      <items count="13">
        <item x="0"/>
        <item x="1"/>
        <item x="2"/>
        <item x="3"/>
        <item x="4"/>
        <item x="5"/>
        <item x="6"/>
        <item x="7"/>
        <item x="8"/>
        <item x="9"/>
        <item x="10"/>
        <item x="11"/>
        <item t="default"/>
      </items>
    </pivotField>
    <pivotField showAll="0"/>
  </pivotFields>
  <rowFields count="1">
    <field x="2"/>
  </rowFields>
  <rowItems count="5">
    <i>
      <x v="12"/>
    </i>
    <i>
      <x v="11"/>
    </i>
    <i>
      <x/>
    </i>
    <i>
      <x v="15"/>
    </i>
    <i>
      <x v="2"/>
    </i>
  </rowItems>
  <colItems count="1">
    <i/>
  </colItems>
  <dataFields count="1">
    <dataField name="Sum of Sales" fld="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78863B1-5569-48A8-AA77-F5BCD62F088E}" name="Sales &amp; region &amp; month" cacheId="27"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
  <location ref="D1:H14" firstHeaderRow="1" firstDataRow="2" firstDataCol="1"/>
  <pivotFields count="12">
    <pivotField showAll="0"/>
    <pivotField numFmtId="14" showAll="0"/>
    <pivotField showAll="0"/>
    <pivotField showAll="0"/>
    <pivotField numFmtId="164" showAll="0"/>
    <pivotField showAll="0"/>
    <pivotField dataField="1" numFmtId="164" showAll="0"/>
    <pivotField numFmtId="164" showAll="0"/>
    <pivotField showAll="0"/>
    <pivotField axis="axisCol" showAll="0">
      <items count="5">
        <item x="3"/>
        <item x="2"/>
        <item x="0"/>
        <item x="1"/>
        <item t="default"/>
      </items>
    </pivotField>
    <pivotField axis="axisRow" showAll="0">
      <items count="13">
        <item x="0"/>
        <item x="1"/>
        <item x="2"/>
        <item x="3"/>
        <item x="4"/>
        <item x="5"/>
        <item x="6"/>
        <item x="7"/>
        <item x="8"/>
        <item x="9"/>
        <item x="10"/>
        <item x="11"/>
        <item t="default"/>
      </items>
    </pivotField>
    <pivotField showAll="0"/>
  </pivotFields>
  <rowFields count="1">
    <field x="10"/>
  </rowFields>
  <rowItems count="12">
    <i>
      <x/>
    </i>
    <i>
      <x v="1"/>
    </i>
    <i>
      <x v="2"/>
    </i>
    <i>
      <x v="3"/>
    </i>
    <i>
      <x v="4"/>
    </i>
    <i>
      <x v="5"/>
    </i>
    <i>
      <x v="6"/>
    </i>
    <i>
      <x v="7"/>
    </i>
    <i>
      <x v="8"/>
    </i>
    <i>
      <x v="9"/>
    </i>
    <i>
      <x v="10"/>
    </i>
    <i>
      <x v="11"/>
    </i>
  </rowItems>
  <colFields count="1">
    <field x="9"/>
  </colFields>
  <colItems count="4">
    <i>
      <x/>
    </i>
    <i>
      <x v="1"/>
    </i>
    <i>
      <x v="2"/>
    </i>
    <i>
      <x v="3"/>
    </i>
  </colItems>
  <dataFields count="1">
    <dataField name="Sum of Sales" fld="6" baseField="0" baseItem="0" numFmtId="164"/>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ACB97D6-6D1E-4262-B899-D5588FA8871B}" sourceName="Region">
  <pivotTables>
    <pivotTable tabId="7" name="Sales &amp; region &amp; month"/>
    <pivotTable tabId="7" name="Sales&amp; Profit"/>
    <pivotTable tabId="7" name="Top 10"/>
    <pivotTable tabId="7" name="Top 5 Customers"/>
    <pivotTable tabId="7" name="Weekly"/>
  </pivotTables>
  <data>
    <tabular pivotCacheId="470485925">
      <items count="4">
        <i x="3" s="1"/>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23FEA461-8B71-4F4B-887E-31E5F439E926}" sourceName="Month">
  <pivotTables>
    <pivotTable tabId="7" name="Sales &amp; region &amp; month"/>
    <pivotTable tabId="7" name="Sales&amp; Profit"/>
    <pivotTable tabId="7" name="Top 10"/>
    <pivotTable tabId="7" name="Top 5 Customers"/>
    <pivotTable tabId="7" name="Weekly"/>
  </pivotTables>
  <data>
    <tabular pivotCacheId="470485925">
      <items count="12">
        <i x="0" s="1"/>
        <i x="1" s="1"/>
        <i x="2" s="1"/>
        <i x="3" s="1"/>
        <i x="4" s="1"/>
        <i x="5" s="1"/>
        <i x="6" s="1"/>
        <i x="7" s="1"/>
        <i x="8" s="1"/>
        <i x="9" s="1"/>
        <i x="10" s="1"/>
        <i x="1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6FE0E15F-0F66-4169-95BC-54F1B7B60F40}" cache="Slicer_Region" caption="Region" style="SlicerStyleOther2" rowHeight="365760"/>
  <slicer name="Month 1" xr10:uid="{991C0C0F-9BEB-4694-BB1C-3018A400AD5A}" cache="Slicer_Month" caption="Month" rowHeight="36576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rinterSettings" Target="../printerSettings/printerSettings1.bin"/><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07A6C4-11AF-4E5F-895D-8E189CF1B7EA}">
  <dimension ref="A1:AC42"/>
  <sheetViews>
    <sheetView zoomScaleNormal="100" workbookViewId="0">
      <selection activeCell="G10" sqref="G10"/>
    </sheetView>
  </sheetViews>
  <sheetFormatPr defaultRowHeight="14.4" x14ac:dyDescent="0.3"/>
  <cols>
    <col min="1" max="1" width="11.6640625" bestFit="1" customWidth="1"/>
    <col min="2" max="2" width="16.88671875" bestFit="1" customWidth="1"/>
    <col min="4" max="4" width="12.5546875" bestFit="1" customWidth="1"/>
    <col min="5" max="5" width="15.5546875" bestFit="1" customWidth="1"/>
    <col min="6" max="6" width="8.5546875" bestFit="1" customWidth="1"/>
    <col min="7" max="7" width="10.77734375" bestFit="1" customWidth="1"/>
    <col min="8" max="8" width="11.21875" bestFit="1" customWidth="1"/>
    <col min="9" max="9" width="10.77734375" bestFit="1" customWidth="1"/>
    <col min="10" max="10" width="16.77734375" bestFit="1" customWidth="1"/>
    <col min="11" max="11" width="11.6640625" bestFit="1" customWidth="1"/>
    <col min="13" max="13" width="12.5546875" customWidth="1"/>
    <col min="14" max="14" width="11.6640625" bestFit="1" customWidth="1"/>
    <col min="16" max="16" width="12.5546875" bestFit="1" customWidth="1"/>
    <col min="17" max="17" width="11.6640625" bestFit="1" customWidth="1"/>
    <col min="19" max="19" width="12.5546875" bestFit="1" customWidth="1"/>
    <col min="20" max="20" width="11.6640625" bestFit="1" customWidth="1"/>
    <col min="21" max="21" width="19.77734375" bestFit="1" customWidth="1"/>
    <col min="22" max="22" width="12.6640625" customWidth="1"/>
    <col min="23" max="23" width="13.5546875" customWidth="1"/>
    <col min="25" max="25" width="14" bestFit="1" customWidth="1"/>
    <col min="26" max="26" width="11.6640625" bestFit="1" customWidth="1"/>
    <col min="28" max="28" width="13.6640625" customWidth="1"/>
    <col min="29" max="29" width="12.21875" customWidth="1"/>
  </cols>
  <sheetData>
    <row r="1" spans="1:29" x14ac:dyDescent="0.3">
      <c r="A1" t="s">
        <v>85</v>
      </c>
      <c r="B1" t="s">
        <v>86</v>
      </c>
      <c r="D1" s="17" t="s">
        <v>85</v>
      </c>
      <c r="E1" s="17" t="s">
        <v>88</v>
      </c>
    </row>
    <row r="2" spans="1:29" x14ac:dyDescent="0.3">
      <c r="A2" s="13">
        <v>1441435.2799999998</v>
      </c>
      <c r="B2" s="13">
        <v>298120.95999999985</v>
      </c>
      <c r="D2" s="17" t="s">
        <v>87</v>
      </c>
      <c r="E2" t="s">
        <v>81</v>
      </c>
      <c r="F2" t="s">
        <v>22</v>
      </c>
      <c r="G2" t="s">
        <v>9</v>
      </c>
      <c r="H2" t="s">
        <v>17</v>
      </c>
      <c r="M2" s="17" t="s">
        <v>87</v>
      </c>
      <c r="N2" t="s">
        <v>85</v>
      </c>
      <c r="P2" s="17" t="s">
        <v>87</v>
      </c>
      <c r="Q2" t="s">
        <v>85</v>
      </c>
      <c r="S2" s="17" t="s">
        <v>87</v>
      </c>
      <c r="T2" t="s">
        <v>85</v>
      </c>
      <c r="V2" t="str">
        <f xml:space="preserve"> S2</f>
        <v>Row Labels</v>
      </c>
      <c r="W2" t="str">
        <f xml:space="preserve"> T2</f>
        <v>Sum of Sales</v>
      </c>
      <c r="Y2" s="17" t="s">
        <v>87</v>
      </c>
      <c r="Z2" t="s">
        <v>85</v>
      </c>
      <c r="AB2" t="str">
        <f xml:space="preserve"> Y2</f>
        <v>Row Labels</v>
      </c>
      <c r="AC2" t="str">
        <f xml:space="preserve"> Z2</f>
        <v>Sum of Sales</v>
      </c>
    </row>
    <row r="3" spans="1:29" x14ac:dyDescent="0.3">
      <c r="D3" s="8" t="s">
        <v>10</v>
      </c>
      <c r="E3" s="13"/>
      <c r="F3" s="13">
        <v>6316.05</v>
      </c>
      <c r="G3" s="13">
        <v>8104.52</v>
      </c>
      <c r="H3" s="13">
        <v>26257.02</v>
      </c>
      <c r="M3" s="8" t="s">
        <v>11</v>
      </c>
      <c r="N3" s="13">
        <v>328292.24000000005</v>
      </c>
      <c r="P3" s="8" t="s">
        <v>81</v>
      </c>
      <c r="Q3" s="13">
        <v>93475.81</v>
      </c>
      <c r="S3" s="8">
        <v>1</v>
      </c>
      <c r="T3" s="13">
        <v>8104.52</v>
      </c>
      <c r="V3">
        <f t="shared" ref="V3:V42" si="0" xml:space="preserve"> S3</f>
        <v>1</v>
      </c>
      <c r="W3">
        <f t="shared" ref="W3:W42" si="1" xml:space="preserve"> T3</f>
        <v>8104.52</v>
      </c>
      <c r="Y3" s="8" t="s">
        <v>18</v>
      </c>
      <c r="Z3" s="13">
        <v>438101.74000000005</v>
      </c>
      <c r="AB3" t="str">
        <f t="shared" ref="AB3:AB21" si="2" xml:space="preserve"> Y3</f>
        <v>Algeria</v>
      </c>
      <c r="AC3">
        <f t="shared" ref="AC3:AC10" si="3" xml:space="preserve"> Z3</f>
        <v>438101.74000000005</v>
      </c>
    </row>
    <row r="4" spans="1:29" x14ac:dyDescent="0.3">
      <c r="D4" s="8" t="s">
        <v>29</v>
      </c>
      <c r="E4" s="13"/>
      <c r="F4" s="13">
        <v>1449</v>
      </c>
      <c r="G4" s="13">
        <v>14298.599999999999</v>
      </c>
      <c r="H4" s="13">
        <v>5341.95</v>
      </c>
      <c r="J4" s="17" t="s">
        <v>87</v>
      </c>
      <c r="K4" t="s">
        <v>85</v>
      </c>
      <c r="M4" s="8" t="s">
        <v>14</v>
      </c>
      <c r="N4" s="13">
        <v>323172.83999999997</v>
      </c>
      <c r="P4" s="8" t="s">
        <v>22</v>
      </c>
      <c r="Q4" s="13">
        <v>215999.92999999996</v>
      </c>
      <c r="S4" s="8">
        <v>2</v>
      </c>
      <c r="T4" s="13">
        <v>32573.07</v>
      </c>
      <c r="V4">
        <f t="shared" si="0"/>
        <v>2</v>
      </c>
      <c r="W4">
        <f t="shared" si="1"/>
        <v>32573.07</v>
      </c>
      <c r="Y4" s="8" t="s">
        <v>74</v>
      </c>
      <c r="Z4" s="13">
        <v>84417.39</v>
      </c>
      <c r="AB4" t="str">
        <f t="shared" si="2"/>
        <v>Bahrain</v>
      </c>
      <c r="AC4">
        <f t="shared" si="3"/>
        <v>84417.39</v>
      </c>
    </row>
    <row r="5" spans="1:29" ht="21.6" x14ac:dyDescent="0.3">
      <c r="A5" s="14">
        <f xml:space="preserve"> A2</f>
        <v>1441435.2799999998</v>
      </c>
      <c r="B5" s="14">
        <f xml:space="preserve"> B2</f>
        <v>298120.95999999985</v>
      </c>
      <c r="D5" s="8" t="s">
        <v>32</v>
      </c>
      <c r="E5" s="13"/>
      <c r="F5" s="13"/>
      <c r="G5" s="13">
        <v>2364.8000000000002</v>
      </c>
      <c r="H5" s="13">
        <v>73428.06</v>
      </c>
      <c r="J5" s="8" t="s">
        <v>68</v>
      </c>
      <c r="K5" s="13">
        <v>133188.24999999997</v>
      </c>
      <c r="M5" s="8" t="s">
        <v>7</v>
      </c>
      <c r="N5" s="13">
        <v>274464.48000000004</v>
      </c>
      <c r="P5" s="8" t="s">
        <v>9</v>
      </c>
      <c r="Q5" s="13">
        <v>392186.85000000003</v>
      </c>
      <c r="S5" s="8">
        <v>5</v>
      </c>
      <c r="T5" s="13">
        <v>5341.95</v>
      </c>
      <c r="V5">
        <f t="shared" si="0"/>
        <v>5</v>
      </c>
      <c r="W5">
        <f t="shared" si="1"/>
        <v>5341.95</v>
      </c>
      <c r="Y5" s="8" t="s">
        <v>16</v>
      </c>
      <c r="Z5" s="13">
        <v>192590.87999999998</v>
      </c>
      <c r="AB5" t="str">
        <f t="shared" si="2"/>
        <v>Egypt</v>
      </c>
      <c r="AC5">
        <f t="shared" si="3"/>
        <v>192590.87999999998</v>
      </c>
    </row>
    <row r="6" spans="1:29" ht="21.6" x14ac:dyDescent="0.3">
      <c r="B6" s="16">
        <f xml:space="preserve"> B5/A5</f>
        <v>0.20682230006192154</v>
      </c>
      <c r="D6" s="8" t="s">
        <v>33</v>
      </c>
      <c r="E6" s="13"/>
      <c r="F6" s="13">
        <v>107187.77</v>
      </c>
      <c r="G6" s="13">
        <v>41115.82</v>
      </c>
      <c r="H6" s="13">
        <v>32971.32</v>
      </c>
      <c r="J6" s="8" t="s">
        <v>26</v>
      </c>
      <c r="K6" s="13">
        <v>114197.98999999999</v>
      </c>
      <c r="M6" s="8" t="s">
        <v>19</v>
      </c>
      <c r="N6" s="13">
        <v>196106.3</v>
      </c>
      <c r="P6" s="8" t="s">
        <v>17</v>
      </c>
      <c r="Q6" s="13">
        <v>739772.69000000018</v>
      </c>
      <c r="S6" s="8">
        <v>6</v>
      </c>
      <c r="T6" s="13">
        <v>10889.25</v>
      </c>
      <c r="V6">
        <f t="shared" si="0"/>
        <v>6</v>
      </c>
      <c r="W6">
        <f t="shared" si="1"/>
        <v>10889.25</v>
      </c>
      <c r="Y6" s="8" t="s">
        <v>75</v>
      </c>
      <c r="Z6" s="13">
        <v>51705.760000000002</v>
      </c>
      <c r="AB6" t="str">
        <f t="shared" si="2"/>
        <v>Iraq</v>
      </c>
      <c r="AC6">
        <f t="shared" si="3"/>
        <v>51705.760000000002</v>
      </c>
    </row>
    <row r="7" spans="1:29" x14ac:dyDescent="0.3">
      <c r="B7" s="15"/>
      <c r="D7" s="8" t="s">
        <v>35</v>
      </c>
      <c r="E7" s="13"/>
      <c r="F7" s="13">
        <v>57018.810000000005</v>
      </c>
      <c r="G7" s="13">
        <v>44386.62</v>
      </c>
      <c r="H7" s="13">
        <v>18612.02</v>
      </c>
      <c r="J7" s="8" t="s">
        <v>62</v>
      </c>
      <c r="K7" s="13">
        <v>109663.06</v>
      </c>
      <c r="M7" s="8" t="s">
        <v>42</v>
      </c>
      <c r="N7" s="13">
        <v>92095.82</v>
      </c>
      <c r="S7" s="8">
        <v>7</v>
      </c>
      <c r="T7" s="13">
        <v>4858.3499999999995</v>
      </c>
      <c r="V7">
        <f t="shared" si="0"/>
        <v>7</v>
      </c>
      <c r="W7">
        <f t="shared" si="1"/>
        <v>4858.3499999999995</v>
      </c>
      <c r="Y7" s="8" t="s">
        <v>24</v>
      </c>
      <c r="Z7" s="13">
        <v>131493.99000000002</v>
      </c>
      <c r="AB7" t="str">
        <f t="shared" si="2"/>
        <v>Jordan</v>
      </c>
      <c r="AC7">
        <f t="shared" si="3"/>
        <v>131493.99000000002</v>
      </c>
    </row>
    <row r="8" spans="1:29" x14ac:dyDescent="0.3">
      <c r="D8" s="8" t="s">
        <v>41</v>
      </c>
      <c r="E8" s="13"/>
      <c r="F8" s="13">
        <v>44028.3</v>
      </c>
      <c r="G8" s="13">
        <v>56329.919999999998</v>
      </c>
      <c r="H8" s="13">
        <v>60180.880000000005</v>
      </c>
      <c r="J8" s="8" t="s">
        <v>28</v>
      </c>
      <c r="K8" s="13">
        <v>109271.89</v>
      </c>
      <c r="S8" s="8">
        <v>9</v>
      </c>
      <c r="T8" s="13">
        <v>2364.8000000000002</v>
      </c>
      <c r="V8">
        <f t="shared" si="0"/>
        <v>9</v>
      </c>
      <c r="W8">
        <f t="shared" si="1"/>
        <v>2364.8000000000002</v>
      </c>
      <c r="Y8" s="8" t="s">
        <v>76</v>
      </c>
      <c r="Z8" s="13">
        <v>36943.75</v>
      </c>
      <c r="AB8" t="str">
        <f t="shared" si="2"/>
        <v>Kuwait</v>
      </c>
      <c r="AC8">
        <f t="shared" si="3"/>
        <v>36943.75</v>
      </c>
    </row>
    <row r="9" spans="1:29" x14ac:dyDescent="0.3">
      <c r="D9" s="8" t="s">
        <v>51</v>
      </c>
      <c r="E9" s="13">
        <v>31943.269999999997</v>
      </c>
      <c r="F9" s="13"/>
      <c r="G9" s="13">
        <v>32470.95</v>
      </c>
      <c r="H9" s="13">
        <v>124456.98999999999</v>
      </c>
      <c r="J9" s="8" t="s">
        <v>27</v>
      </c>
      <c r="K9" s="13">
        <v>102458.74999999999</v>
      </c>
      <c r="S9" s="8">
        <v>10</v>
      </c>
      <c r="T9" s="13">
        <v>73428.06</v>
      </c>
      <c r="V9">
        <f t="shared" si="0"/>
        <v>10</v>
      </c>
      <c r="W9">
        <f t="shared" si="1"/>
        <v>73428.06</v>
      </c>
      <c r="Y9" s="8" t="s">
        <v>21</v>
      </c>
      <c r="Z9" s="13">
        <v>83056.94</v>
      </c>
      <c r="AB9" t="str">
        <f t="shared" si="2"/>
        <v>Lebanon</v>
      </c>
      <c r="AC9">
        <f t="shared" si="3"/>
        <v>83056.94</v>
      </c>
    </row>
    <row r="10" spans="1:29" x14ac:dyDescent="0.3">
      <c r="D10" s="8" t="s">
        <v>53</v>
      </c>
      <c r="E10" s="13"/>
      <c r="F10" s="13"/>
      <c r="G10" s="13">
        <v>46550</v>
      </c>
      <c r="H10" s="13">
        <v>67998.080000000002</v>
      </c>
      <c r="J10" s="8" t="s">
        <v>67</v>
      </c>
      <c r="K10" s="13">
        <v>98651.650000000009</v>
      </c>
      <c r="S10" s="8">
        <v>14</v>
      </c>
      <c r="T10" s="13">
        <v>48524.369999999995</v>
      </c>
      <c r="V10">
        <f t="shared" si="0"/>
        <v>14</v>
      </c>
      <c r="W10">
        <f t="shared" si="1"/>
        <v>48524.369999999995</v>
      </c>
      <c r="Y10" s="8" t="s">
        <v>54</v>
      </c>
      <c r="Z10" s="13">
        <v>7776.62</v>
      </c>
      <c r="AB10" t="str">
        <f t="shared" si="2"/>
        <v>Libya</v>
      </c>
      <c r="AC10">
        <f t="shared" si="3"/>
        <v>7776.62</v>
      </c>
    </row>
    <row r="11" spans="1:29" x14ac:dyDescent="0.3">
      <c r="D11" s="8" t="s">
        <v>70</v>
      </c>
      <c r="E11" s="13">
        <v>61532.54</v>
      </c>
      <c r="F11" s="13"/>
      <c r="G11" s="13">
        <v>24293.119999999999</v>
      </c>
      <c r="H11" s="13">
        <v>82889.399999999994</v>
      </c>
      <c r="J11" s="8" t="s">
        <v>63</v>
      </c>
      <c r="K11" s="13">
        <v>93719.87999999999</v>
      </c>
      <c r="S11" s="8">
        <v>15</v>
      </c>
      <c r="T11" s="13">
        <v>27503.5</v>
      </c>
      <c r="V11">
        <f t="shared" si="0"/>
        <v>15</v>
      </c>
      <c r="W11" s="13">
        <f xml:space="preserve"> T11</f>
        <v>27503.5</v>
      </c>
      <c r="Y11" s="8" t="s">
        <v>77</v>
      </c>
      <c r="Z11" s="13">
        <v>27326.420000000002</v>
      </c>
      <c r="AB11" t="str">
        <f t="shared" si="2"/>
        <v>Oman</v>
      </c>
      <c r="AC11" s="13">
        <f xml:space="preserve"> Z11</f>
        <v>27326.420000000002</v>
      </c>
    </row>
    <row r="12" spans="1:29" x14ac:dyDescent="0.3">
      <c r="D12" s="8" t="s">
        <v>71</v>
      </c>
      <c r="E12" s="13"/>
      <c r="F12" s="13"/>
      <c r="G12" s="13">
        <v>34104.870000000003</v>
      </c>
      <c r="H12" s="13">
        <v>67576.51999999999</v>
      </c>
      <c r="J12" s="8" t="s">
        <v>15</v>
      </c>
      <c r="K12" s="13">
        <v>90446.549999999988</v>
      </c>
      <c r="S12" s="8">
        <v>16</v>
      </c>
      <c r="T12" s="13">
        <v>63035.6</v>
      </c>
      <c r="V12">
        <f t="shared" si="0"/>
        <v>16</v>
      </c>
      <c r="W12">
        <f t="shared" si="1"/>
        <v>63035.6</v>
      </c>
      <c r="Y12" s="8" t="s">
        <v>78</v>
      </c>
      <c r="Z12" s="13">
        <v>48275.06</v>
      </c>
      <c r="AB12" t="str">
        <f t="shared" si="2"/>
        <v>Palestine</v>
      </c>
      <c r="AC12">
        <f t="shared" ref="AC12:AC21" si="4" xml:space="preserve"> Z12</f>
        <v>48275.06</v>
      </c>
    </row>
    <row r="13" spans="1:29" x14ac:dyDescent="0.3">
      <c r="D13" s="8" t="s">
        <v>72</v>
      </c>
      <c r="E13" s="13"/>
      <c r="F13" s="13"/>
      <c r="G13" s="13">
        <v>87256.27</v>
      </c>
      <c r="H13" s="13">
        <v>143544.78</v>
      </c>
      <c r="J13" s="8" t="s">
        <v>12</v>
      </c>
      <c r="K13" s="13">
        <v>81442.12</v>
      </c>
      <c r="S13" s="8">
        <v>17</v>
      </c>
      <c r="T13" s="13">
        <v>42211.44</v>
      </c>
      <c r="V13">
        <f t="shared" si="0"/>
        <v>17</v>
      </c>
      <c r="W13">
        <f t="shared" si="1"/>
        <v>42211.44</v>
      </c>
      <c r="Y13" s="8" t="s">
        <v>25</v>
      </c>
      <c r="Z13" s="13">
        <v>9440.25</v>
      </c>
      <c r="AB13" t="str">
        <f t="shared" si="2"/>
        <v>Qatar</v>
      </c>
      <c r="AC13">
        <f t="shared" si="4"/>
        <v>9440.25</v>
      </c>
    </row>
    <row r="14" spans="1:29" x14ac:dyDescent="0.3">
      <c r="D14" s="8" t="s">
        <v>73</v>
      </c>
      <c r="E14" s="13"/>
      <c r="F14" s="13"/>
      <c r="G14" s="13">
        <v>911.36</v>
      </c>
      <c r="H14" s="13">
        <v>36515.67</v>
      </c>
      <c r="J14" s="8" t="s">
        <v>65</v>
      </c>
      <c r="K14" s="13">
        <v>77913</v>
      </c>
      <c r="S14" s="8">
        <v>19</v>
      </c>
      <c r="T14" s="13">
        <v>42854.05</v>
      </c>
      <c r="V14">
        <f t="shared" si="0"/>
        <v>19</v>
      </c>
      <c r="W14">
        <f t="shared" si="1"/>
        <v>42854.05</v>
      </c>
      <c r="Y14" s="8" t="s">
        <v>8</v>
      </c>
      <c r="Z14" s="13">
        <v>35463.389999999992</v>
      </c>
      <c r="AB14" t="str">
        <f t="shared" si="2"/>
        <v>Saudi Arabia</v>
      </c>
      <c r="AC14">
        <f t="shared" si="4"/>
        <v>35463.389999999992</v>
      </c>
    </row>
    <row r="15" spans="1:29" x14ac:dyDescent="0.3">
      <c r="S15" s="8">
        <v>20</v>
      </c>
      <c r="T15" s="13">
        <v>48980.51</v>
      </c>
      <c r="V15">
        <f t="shared" si="0"/>
        <v>20</v>
      </c>
      <c r="W15">
        <f t="shared" si="1"/>
        <v>48980.51</v>
      </c>
      <c r="Y15" s="8" t="s">
        <v>83</v>
      </c>
      <c r="Z15" s="13">
        <v>26699.61</v>
      </c>
      <c r="AB15" t="str">
        <f t="shared" si="2"/>
        <v>South Sudan</v>
      </c>
      <c r="AC15">
        <f t="shared" si="4"/>
        <v>26699.61</v>
      </c>
    </row>
    <row r="16" spans="1:29" x14ac:dyDescent="0.3">
      <c r="D16" t="str">
        <f xml:space="preserve"> D2</f>
        <v>Row Labels</v>
      </c>
      <c r="E16" t="str">
        <f t="shared" ref="E16:H16" si="5" xml:space="preserve"> E2</f>
        <v>Horn of Africa</v>
      </c>
      <c r="F16" t="str">
        <f t="shared" si="5"/>
        <v>Levant</v>
      </c>
      <c r="G16" t="str">
        <f t="shared" si="5"/>
        <v>Middle East</v>
      </c>
      <c r="H16" t="str">
        <f t="shared" si="5"/>
        <v>North Africa</v>
      </c>
      <c r="S16" s="8">
        <v>21</v>
      </c>
      <c r="T16" s="13">
        <v>12459.98</v>
      </c>
      <c r="V16">
        <f t="shared" si="0"/>
        <v>21</v>
      </c>
      <c r="W16">
        <f t="shared" si="1"/>
        <v>12459.98</v>
      </c>
      <c r="Y16" s="8" t="s">
        <v>82</v>
      </c>
      <c r="Z16" s="13">
        <v>66776.2</v>
      </c>
      <c r="AB16" t="str">
        <f t="shared" si="2"/>
        <v>Sudan</v>
      </c>
      <c r="AC16">
        <f t="shared" si="4"/>
        <v>66776.2</v>
      </c>
    </row>
    <row r="17" spans="4:29" x14ac:dyDescent="0.3">
      <c r="D17" t="str">
        <f t="shared" ref="D17:H17" si="6" xml:space="preserve"> D3</f>
        <v>January</v>
      </c>
      <c r="E17" s="13">
        <f xml:space="preserve"> E3</f>
        <v>0</v>
      </c>
      <c r="F17" s="13">
        <f t="shared" si="6"/>
        <v>6316.05</v>
      </c>
      <c r="G17" s="13">
        <f t="shared" si="6"/>
        <v>8104.52</v>
      </c>
      <c r="H17" s="13">
        <f t="shared" si="6"/>
        <v>26257.02</v>
      </c>
      <c r="M17" s="18" t="str">
        <f xml:space="preserve"> M3</f>
        <v>StarMall</v>
      </c>
      <c r="N17" s="19">
        <f xml:space="preserve"> N3</f>
        <v>328292.24000000005</v>
      </c>
      <c r="P17" s="18" t="str">
        <f xml:space="preserve"> P3</f>
        <v>Horn of Africa</v>
      </c>
      <c r="Q17" s="19">
        <f xml:space="preserve"> Q3</f>
        <v>93475.81</v>
      </c>
      <c r="S17" s="8">
        <v>22</v>
      </c>
      <c r="T17" s="13">
        <v>15722.91</v>
      </c>
      <c r="V17">
        <f t="shared" si="0"/>
        <v>22</v>
      </c>
      <c r="W17">
        <f t="shared" si="1"/>
        <v>15722.91</v>
      </c>
      <c r="Y17" s="8" t="s">
        <v>79</v>
      </c>
      <c r="Z17" s="13">
        <v>911.36</v>
      </c>
      <c r="AB17" t="str">
        <f t="shared" si="2"/>
        <v>Syria</v>
      </c>
      <c r="AC17">
        <f t="shared" si="4"/>
        <v>911.36</v>
      </c>
    </row>
    <row r="18" spans="4:29" x14ac:dyDescent="0.3">
      <c r="D18" t="str">
        <f t="shared" ref="D18:H18" si="7" xml:space="preserve"> D4</f>
        <v>February</v>
      </c>
      <c r="E18" s="13">
        <f t="shared" si="7"/>
        <v>0</v>
      </c>
      <c r="F18" s="13">
        <f t="shared" si="7"/>
        <v>1449</v>
      </c>
      <c r="G18" s="13">
        <f t="shared" si="7"/>
        <v>14298.599999999999</v>
      </c>
      <c r="H18" s="13">
        <f t="shared" si="7"/>
        <v>5341.95</v>
      </c>
      <c r="M18" s="18" t="str">
        <f t="shared" ref="M18:N18" si="8" xml:space="preserve"> M4</f>
        <v>Shopper's Hub</v>
      </c>
      <c r="N18" s="19">
        <f t="shared" si="8"/>
        <v>323172.83999999997</v>
      </c>
      <c r="P18" s="18" t="str">
        <f t="shared" ref="P18:Q18" si="9" xml:space="preserve"> P4</f>
        <v>Levant</v>
      </c>
      <c r="Q18" s="19">
        <f t="shared" si="9"/>
        <v>215999.92999999996</v>
      </c>
      <c r="S18" s="8">
        <v>23</v>
      </c>
      <c r="T18" s="13">
        <v>26395.84</v>
      </c>
      <c r="V18">
        <f t="shared" si="0"/>
        <v>23</v>
      </c>
      <c r="W18">
        <f t="shared" si="1"/>
        <v>26395.84</v>
      </c>
      <c r="Y18" s="8" t="s">
        <v>55</v>
      </c>
      <c r="Z18" s="13">
        <v>55612.81</v>
      </c>
      <c r="AB18" t="str">
        <f t="shared" si="2"/>
        <v>Tunisia</v>
      </c>
      <c r="AC18">
        <f t="shared" si="4"/>
        <v>55612.81</v>
      </c>
    </row>
    <row r="19" spans="4:29" x14ac:dyDescent="0.3">
      <c r="D19" t="str">
        <f t="shared" ref="D19:H19" si="10" xml:space="preserve"> D5</f>
        <v>March</v>
      </c>
      <c r="E19" s="13">
        <f t="shared" si="10"/>
        <v>0</v>
      </c>
      <c r="F19" s="13">
        <f t="shared" si="10"/>
        <v>0</v>
      </c>
      <c r="G19" s="13">
        <f t="shared" si="10"/>
        <v>2364.8000000000002</v>
      </c>
      <c r="H19" s="13">
        <f t="shared" si="10"/>
        <v>73428.06</v>
      </c>
      <c r="J19" s="18" t="str">
        <f xml:space="preserve"> J5</f>
        <v>Router</v>
      </c>
      <c r="K19" s="19">
        <f xml:space="preserve"> K5</f>
        <v>133188.24999999997</v>
      </c>
      <c r="M19" s="18" t="str">
        <f t="shared" ref="M19:N19" si="11" xml:space="preserve"> M5</f>
        <v>AliTech</v>
      </c>
      <c r="N19" s="19">
        <f t="shared" si="11"/>
        <v>274464.48000000004</v>
      </c>
      <c r="P19" s="18" t="str">
        <f t="shared" ref="P19:Q19" si="12" xml:space="preserve"> P5</f>
        <v>Middle East</v>
      </c>
      <c r="Q19" s="19">
        <f t="shared" si="12"/>
        <v>392186.85000000003</v>
      </c>
      <c r="S19" s="8">
        <v>24</v>
      </c>
      <c r="T19" s="13">
        <v>28944.21</v>
      </c>
      <c r="V19">
        <f t="shared" si="0"/>
        <v>24</v>
      </c>
      <c r="W19">
        <f t="shared" si="1"/>
        <v>28944.21</v>
      </c>
      <c r="Y19" s="8" t="s">
        <v>13</v>
      </c>
      <c r="Z19" s="13">
        <v>88738.22</v>
      </c>
      <c r="AB19" t="str">
        <f t="shared" si="2"/>
        <v>UAE</v>
      </c>
      <c r="AC19">
        <f t="shared" si="4"/>
        <v>88738.22</v>
      </c>
    </row>
    <row r="20" spans="4:29" x14ac:dyDescent="0.3">
      <c r="D20" t="str">
        <f t="shared" ref="D20:H20" si="13" xml:space="preserve"> D6</f>
        <v>April</v>
      </c>
      <c r="E20" s="13">
        <f t="shared" si="13"/>
        <v>0</v>
      </c>
      <c r="F20" s="13">
        <f t="shared" si="13"/>
        <v>107187.77</v>
      </c>
      <c r="G20" s="13">
        <f t="shared" si="13"/>
        <v>41115.82</v>
      </c>
      <c r="H20" s="13">
        <f t="shared" si="13"/>
        <v>32971.32</v>
      </c>
      <c r="J20" s="18" t="str">
        <f t="shared" ref="J20:K27" si="14" xml:space="preserve"> J6</f>
        <v>External Hard Drive</v>
      </c>
      <c r="K20" s="19">
        <f t="shared" si="14"/>
        <v>114197.98999999999</v>
      </c>
      <c r="M20" s="18" t="str">
        <f t="shared" ref="M20:N20" si="15" xml:space="preserve"> M6</f>
        <v>TechMart</v>
      </c>
      <c r="N20" s="19">
        <f t="shared" si="15"/>
        <v>196106.3</v>
      </c>
      <c r="P20" s="18" t="str">
        <f t="shared" ref="P20:Q20" si="16" xml:space="preserve"> P6</f>
        <v>North Africa</v>
      </c>
      <c r="Q20" s="19">
        <f t="shared" si="16"/>
        <v>739772.69000000018</v>
      </c>
      <c r="S20" s="8">
        <v>25</v>
      </c>
      <c r="T20" s="13">
        <v>58732.18</v>
      </c>
      <c r="V20">
        <f t="shared" si="0"/>
        <v>25</v>
      </c>
      <c r="W20">
        <f t="shared" si="1"/>
        <v>58732.18</v>
      </c>
      <c r="Y20" s="8" t="s">
        <v>84</v>
      </c>
      <c r="Z20" s="13">
        <v>47139.64</v>
      </c>
      <c r="AB20" t="str">
        <f t="shared" si="2"/>
        <v>Western Sahara</v>
      </c>
      <c r="AC20">
        <f t="shared" si="4"/>
        <v>47139.64</v>
      </c>
    </row>
    <row r="21" spans="4:29" x14ac:dyDescent="0.3">
      <c r="D21" t="str">
        <f t="shared" ref="D21:H21" si="17" xml:space="preserve"> D7</f>
        <v>May</v>
      </c>
      <c r="E21" s="13">
        <f t="shared" si="17"/>
        <v>0</v>
      </c>
      <c r="F21" s="13">
        <f t="shared" si="17"/>
        <v>57018.810000000005</v>
      </c>
      <c r="G21" s="13">
        <f t="shared" si="17"/>
        <v>44386.62</v>
      </c>
      <c r="H21" s="13">
        <f t="shared" si="17"/>
        <v>18612.02</v>
      </c>
      <c r="J21" s="18" t="str">
        <f t="shared" si="14"/>
        <v>Printer</v>
      </c>
      <c r="K21" s="19">
        <f t="shared" si="14"/>
        <v>109663.06</v>
      </c>
      <c r="M21" s="18" t="str">
        <f t="shared" ref="M21:N21" si="18" xml:space="preserve"> M7</f>
        <v>CityEssentials</v>
      </c>
      <c r="N21" s="19">
        <f t="shared" si="18"/>
        <v>92095.82</v>
      </c>
      <c r="P21" s="18"/>
      <c r="Q21" s="19"/>
      <c r="S21" s="8">
        <v>26</v>
      </c>
      <c r="T21" s="13">
        <v>46466.869999999995</v>
      </c>
      <c r="V21">
        <f t="shared" si="0"/>
        <v>26</v>
      </c>
      <c r="W21">
        <f t="shared" si="1"/>
        <v>46466.869999999995</v>
      </c>
      <c r="Y21" s="8" t="s">
        <v>80</v>
      </c>
      <c r="Z21" s="13">
        <v>8965.25</v>
      </c>
      <c r="AB21" t="str">
        <f t="shared" si="2"/>
        <v>Yemen</v>
      </c>
      <c r="AC21">
        <f t="shared" si="4"/>
        <v>8965.25</v>
      </c>
    </row>
    <row r="22" spans="4:29" x14ac:dyDescent="0.3">
      <c r="D22" t="str">
        <f t="shared" ref="D22:H22" si="19" xml:space="preserve"> D8</f>
        <v>June</v>
      </c>
      <c r="E22" s="13">
        <f t="shared" si="19"/>
        <v>0</v>
      </c>
      <c r="F22" s="13">
        <f t="shared" si="19"/>
        <v>44028.3</v>
      </c>
      <c r="G22" s="13">
        <f t="shared" si="19"/>
        <v>56329.919999999998</v>
      </c>
      <c r="H22" s="13">
        <f t="shared" si="19"/>
        <v>60180.880000000005</v>
      </c>
      <c r="J22" s="18" t="str">
        <f t="shared" si="14"/>
        <v>Bluetooth Speaker</v>
      </c>
      <c r="K22" s="19">
        <f t="shared" si="14"/>
        <v>109271.89</v>
      </c>
      <c r="S22" s="8">
        <v>27</v>
      </c>
      <c r="T22" s="13">
        <v>27303.4</v>
      </c>
      <c r="V22">
        <f t="shared" si="0"/>
        <v>27</v>
      </c>
      <c r="W22">
        <f t="shared" si="1"/>
        <v>27303.4</v>
      </c>
    </row>
    <row r="23" spans="4:29" x14ac:dyDescent="0.3">
      <c r="D23" t="str">
        <f t="shared" ref="D23:H23" si="20" xml:space="preserve"> D9</f>
        <v>July</v>
      </c>
      <c r="E23" s="13">
        <f t="shared" si="20"/>
        <v>31943.269999999997</v>
      </c>
      <c r="F23" s="13">
        <f t="shared" si="20"/>
        <v>0</v>
      </c>
      <c r="G23" s="13">
        <f t="shared" si="20"/>
        <v>32470.95</v>
      </c>
      <c r="H23" s="13">
        <f t="shared" si="20"/>
        <v>124456.98999999999</v>
      </c>
      <c r="J23" s="18" t="str">
        <f t="shared" si="14"/>
        <v>Desk Lamp</v>
      </c>
      <c r="K23" s="19">
        <f t="shared" si="14"/>
        <v>102458.74999999999</v>
      </c>
      <c r="S23" s="8">
        <v>28</v>
      </c>
      <c r="T23" s="13">
        <v>22301.739999999998</v>
      </c>
      <c r="V23">
        <f t="shared" si="0"/>
        <v>28</v>
      </c>
      <c r="W23">
        <f t="shared" si="1"/>
        <v>22301.739999999998</v>
      </c>
    </row>
    <row r="24" spans="4:29" x14ac:dyDescent="0.3">
      <c r="D24" t="str">
        <f t="shared" ref="D24:H24" si="21" xml:space="preserve"> D10</f>
        <v>August</v>
      </c>
      <c r="E24" s="13">
        <f t="shared" si="21"/>
        <v>0</v>
      </c>
      <c r="F24" s="13">
        <f t="shared" si="21"/>
        <v>0</v>
      </c>
      <c r="G24" s="13">
        <f t="shared" si="21"/>
        <v>46550</v>
      </c>
      <c r="H24" s="13">
        <f t="shared" si="21"/>
        <v>67998.080000000002</v>
      </c>
      <c r="J24" s="18" t="str">
        <f t="shared" si="14"/>
        <v>Tablet</v>
      </c>
      <c r="K24" s="19">
        <f t="shared" si="14"/>
        <v>98651.650000000009</v>
      </c>
      <c r="S24" s="8">
        <v>29</v>
      </c>
      <c r="T24" s="13">
        <v>71390.76999999999</v>
      </c>
      <c r="V24">
        <f t="shared" si="0"/>
        <v>29</v>
      </c>
      <c r="W24">
        <f t="shared" si="1"/>
        <v>71390.76999999999</v>
      </c>
    </row>
    <row r="25" spans="4:29" x14ac:dyDescent="0.3">
      <c r="D25" t="str">
        <f t="shared" ref="D25:H25" si="22" xml:space="preserve"> D11</f>
        <v>September</v>
      </c>
      <c r="E25" s="13">
        <f t="shared" si="22"/>
        <v>61532.54</v>
      </c>
      <c r="F25" s="13">
        <f t="shared" si="22"/>
        <v>0</v>
      </c>
      <c r="G25" s="13">
        <f t="shared" si="22"/>
        <v>24293.119999999999</v>
      </c>
      <c r="H25" s="13">
        <f t="shared" si="22"/>
        <v>82889.399999999994</v>
      </c>
      <c r="J25" s="18" t="str">
        <f t="shared" si="14"/>
        <v>Portable SSD</v>
      </c>
      <c r="K25" s="19">
        <f t="shared" si="14"/>
        <v>93719.87999999999</v>
      </c>
      <c r="S25" s="8">
        <v>30</v>
      </c>
      <c r="T25" s="13">
        <v>39885.11</v>
      </c>
      <c r="V25">
        <f t="shared" si="0"/>
        <v>30</v>
      </c>
      <c r="W25">
        <f t="shared" si="1"/>
        <v>39885.11</v>
      </c>
    </row>
    <row r="26" spans="4:29" x14ac:dyDescent="0.3">
      <c r="D26" t="str">
        <f t="shared" ref="D26:H26" si="23" xml:space="preserve"> D12</f>
        <v>October</v>
      </c>
      <c r="E26" s="13">
        <f t="shared" si="23"/>
        <v>0</v>
      </c>
      <c r="F26" s="13">
        <f t="shared" si="23"/>
        <v>0</v>
      </c>
      <c r="G26" s="13">
        <f t="shared" si="23"/>
        <v>34104.870000000003</v>
      </c>
      <c r="H26" s="13">
        <f t="shared" si="23"/>
        <v>67576.51999999999</v>
      </c>
      <c r="J26" s="18" t="str">
        <f t="shared" si="14"/>
        <v>Headphones</v>
      </c>
      <c r="K26" s="19">
        <f t="shared" si="14"/>
        <v>90446.549999999988</v>
      </c>
      <c r="S26" s="8">
        <v>31</v>
      </c>
      <c r="T26" s="13">
        <v>74540.19</v>
      </c>
      <c r="V26">
        <f t="shared" si="0"/>
        <v>31</v>
      </c>
      <c r="W26">
        <f t="shared" si="1"/>
        <v>74540.19</v>
      </c>
    </row>
    <row r="27" spans="4:29" x14ac:dyDescent="0.3">
      <c r="D27" t="str">
        <f t="shared" ref="D27:H27" si="24" xml:space="preserve"> D13</f>
        <v>November</v>
      </c>
      <c r="E27" s="13">
        <f t="shared" si="24"/>
        <v>0</v>
      </c>
      <c r="F27" s="13">
        <f t="shared" si="24"/>
        <v>0</v>
      </c>
      <c r="G27" s="13">
        <f t="shared" si="24"/>
        <v>87256.27</v>
      </c>
      <c r="H27" s="13">
        <f t="shared" si="24"/>
        <v>143544.78</v>
      </c>
      <c r="J27" s="18" t="str">
        <f t="shared" si="14"/>
        <v>Keyboard</v>
      </c>
      <c r="K27" s="19">
        <f t="shared" si="14"/>
        <v>81442.12</v>
      </c>
      <c r="S27" s="8">
        <v>32</v>
      </c>
      <c r="T27" s="13">
        <v>67998.080000000002</v>
      </c>
      <c r="V27">
        <f t="shared" si="0"/>
        <v>32</v>
      </c>
      <c r="W27">
        <f t="shared" si="1"/>
        <v>67998.080000000002</v>
      </c>
    </row>
    <row r="28" spans="4:29" x14ac:dyDescent="0.3">
      <c r="D28" t="str">
        <f t="shared" ref="D28:H28" si="25" xml:space="preserve"> D14</f>
        <v>December</v>
      </c>
      <c r="E28" s="13">
        <f t="shared" si="25"/>
        <v>0</v>
      </c>
      <c r="F28" s="13">
        <f t="shared" si="25"/>
        <v>0</v>
      </c>
      <c r="G28" s="13">
        <f t="shared" si="25"/>
        <v>911.36</v>
      </c>
      <c r="H28" s="13">
        <f t="shared" si="25"/>
        <v>36515.67</v>
      </c>
      <c r="S28" s="8">
        <v>36</v>
      </c>
      <c r="T28" s="13">
        <v>18257.439999999999</v>
      </c>
      <c r="V28">
        <f t="shared" si="0"/>
        <v>36</v>
      </c>
      <c r="W28">
        <f t="shared" si="1"/>
        <v>18257.439999999999</v>
      </c>
    </row>
    <row r="29" spans="4:29" x14ac:dyDescent="0.3">
      <c r="S29" s="8">
        <v>38</v>
      </c>
      <c r="T29" s="13">
        <v>49971.24</v>
      </c>
      <c r="V29">
        <f t="shared" si="0"/>
        <v>38</v>
      </c>
      <c r="W29">
        <f t="shared" si="1"/>
        <v>49971.24</v>
      </c>
    </row>
    <row r="30" spans="4:29" x14ac:dyDescent="0.3">
      <c r="S30" s="8">
        <v>39</v>
      </c>
      <c r="T30" s="13">
        <v>84499.66</v>
      </c>
      <c r="V30">
        <f t="shared" si="0"/>
        <v>39</v>
      </c>
      <c r="W30">
        <f t="shared" si="1"/>
        <v>84499.66</v>
      </c>
    </row>
    <row r="31" spans="4:29" x14ac:dyDescent="0.3">
      <c r="S31" s="8">
        <v>40</v>
      </c>
      <c r="T31" s="13">
        <v>15986.720000000001</v>
      </c>
      <c r="V31">
        <f t="shared" si="0"/>
        <v>40</v>
      </c>
      <c r="W31">
        <f t="shared" si="1"/>
        <v>15986.720000000001</v>
      </c>
    </row>
    <row r="32" spans="4:29" x14ac:dyDescent="0.3">
      <c r="S32" s="8">
        <v>41</v>
      </c>
      <c r="T32" s="13">
        <v>30980.519999999997</v>
      </c>
      <c r="V32">
        <f t="shared" si="0"/>
        <v>41</v>
      </c>
      <c r="W32">
        <f t="shared" si="1"/>
        <v>30980.519999999997</v>
      </c>
    </row>
    <row r="33" spans="19:23" x14ac:dyDescent="0.3">
      <c r="S33" s="8">
        <v>42</v>
      </c>
      <c r="T33" s="13">
        <v>34104.870000000003</v>
      </c>
      <c r="V33">
        <f t="shared" si="0"/>
        <v>42</v>
      </c>
      <c r="W33">
        <f t="shared" si="1"/>
        <v>34104.870000000003</v>
      </c>
    </row>
    <row r="34" spans="19:23" x14ac:dyDescent="0.3">
      <c r="S34" s="8">
        <v>43</v>
      </c>
      <c r="T34" s="13">
        <v>36596</v>
      </c>
      <c r="V34">
        <f t="shared" si="0"/>
        <v>43</v>
      </c>
      <c r="W34">
        <f t="shared" si="1"/>
        <v>36596</v>
      </c>
    </row>
    <row r="35" spans="19:23" x14ac:dyDescent="0.3">
      <c r="S35" s="8">
        <v>44</v>
      </c>
      <c r="T35" s="13">
        <v>4225.32</v>
      </c>
      <c r="V35">
        <f t="shared" si="0"/>
        <v>44</v>
      </c>
      <c r="W35">
        <f t="shared" si="1"/>
        <v>4225.32</v>
      </c>
    </row>
    <row r="36" spans="19:23" x14ac:dyDescent="0.3">
      <c r="S36" s="8">
        <v>45</v>
      </c>
      <c r="T36" s="13">
        <v>21961.190000000002</v>
      </c>
      <c r="V36">
        <f t="shared" si="0"/>
        <v>45</v>
      </c>
      <c r="W36">
        <f t="shared" si="1"/>
        <v>21961.190000000002</v>
      </c>
    </row>
    <row r="37" spans="19:23" x14ac:dyDescent="0.3">
      <c r="S37" s="8">
        <v>46</v>
      </c>
      <c r="T37" s="13">
        <v>25028.19</v>
      </c>
      <c r="V37">
        <f t="shared" si="0"/>
        <v>46</v>
      </c>
      <c r="W37">
        <f t="shared" si="1"/>
        <v>25028.19</v>
      </c>
    </row>
    <row r="38" spans="19:23" x14ac:dyDescent="0.3">
      <c r="S38" s="8">
        <v>47</v>
      </c>
      <c r="T38" s="13">
        <v>81525.570000000007</v>
      </c>
      <c r="V38">
        <f t="shared" si="0"/>
        <v>47</v>
      </c>
      <c r="W38">
        <f t="shared" si="1"/>
        <v>81525.570000000007</v>
      </c>
    </row>
    <row r="39" spans="19:23" x14ac:dyDescent="0.3">
      <c r="S39" s="8">
        <v>48</v>
      </c>
      <c r="T39" s="13">
        <v>98060.78</v>
      </c>
      <c r="V39">
        <f t="shared" si="0"/>
        <v>48</v>
      </c>
      <c r="W39">
        <f t="shared" si="1"/>
        <v>98060.78</v>
      </c>
    </row>
    <row r="40" spans="19:23" x14ac:dyDescent="0.3">
      <c r="S40" s="8">
        <v>50</v>
      </c>
      <c r="T40" s="13">
        <v>7727.6099999999988</v>
      </c>
      <c r="V40">
        <f t="shared" si="0"/>
        <v>50</v>
      </c>
      <c r="W40">
        <f t="shared" si="1"/>
        <v>7727.6099999999988</v>
      </c>
    </row>
    <row r="41" spans="19:23" x14ac:dyDescent="0.3">
      <c r="S41" s="8">
        <v>51</v>
      </c>
      <c r="T41" s="13">
        <v>29699.42</v>
      </c>
      <c r="V41">
        <f t="shared" si="0"/>
        <v>51</v>
      </c>
      <c r="W41">
        <f t="shared" si="1"/>
        <v>29699.42</v>
      </c>
    </row>
    <row r="42" spans="19:23" x14ac:dyDescent="0.3">
      <c r="S42" s="8" t="s">
        <v>89</v>
      </c>
      <c r="T42" s="13">
        <v>1441435.28</v>
      </c>
      <c r="V42" t="str">
        <f t="shared" si="0"/>
        <v>Grand Total</v>
      </c>
      <c r="W42">
        <f t="shared" si="1"/>
        <v>1441435.28</v>
      </c>
    </row>
  </sheetData>
  <pageMargins left="0.7" right="0.7" top="0.75" bottom="0.75" header="0.3" footer="0.3"/>
  <pageSetup orientation="portrait" r:id="rId8"/>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60DA68-6E76-451A-8306-2274127BD9BA}">
  <sheetPr codeName="Sheet1">
    <tabColor rgb="FF00B050"/>
  </sheetPr>
  <dimension ref="A1:L101"/>
  <sheetViews>
    <sheetView topLeftCell="D1" zoomScale="145" zoomScaleNormal="145" workbookViewId="0">
      <pane ySplit="1" topLeftCell="A84" activePane="bottomLeft" state="frozen"/>
      <selection pane="bottomLeft" activeCell="F89" sqref="F89"/>
    </sheetView>
  </sheetViews>
  <sheetFormatPr defaultRowHeight="14.4" x14ac:dyDescent="0.3"/>
  <cols>
    <col min="1" max="1" width="5.5546875" style="2" customWidth="1"/>
    <col min="2" max="2" width="11.33203125" style="2" bestFit="1" customWidth="1"/>
    <col min="3" max="3" width="14.33203125" style="8" bestFit="1" customWidth="1"/>
    <col min="4" max="4" width="18.33203125" style="8" bestFit="1" customWidth="1"/>
    <col min="5" max="5" width="9.6640625" style="5" bestFit="1" customWidth="1"/>
    <col min="6" max="6" width="8.6640625" style="2" bestFit="1" customWidth="1"/>
    <col min="7" max="7" width="11.6640625" style="5" bestFit="1" customWidth="1"/>
    <col min="8" max="8" width="10.88671875" style="5" bestFit="1" customWidth="1"/>
    <col min="9" max="9" width="14.109375" style="8" bestFit="1" customWidth="1"/>
    <col min="10" max="10" width="13.33203125" style="8" bestFit="1" customWidth="1"/>
    <col min="11" max="11" width="13.109375" style="2" customWidth="1"/>
    <col min="12" max="12" width="9.6640625" style="2" customWidth="1"/>
  </cols>
  <sheetData>
    <row r="1" spans="1:12" s="11" customFormat="1" ht="36" customHeight="1" x14ac:dyDescent="0.3">
      <c r="A1" s="6" t="s">
        <v>31</v>
      </c>
      <c r="B1" s="6" t="s">
        <v>0</v>
      </c>
      <c r="C1" s="6" t="s">
        <v>1</v>
      </c>
      <c r="D1" s="6" t="s">
        <v>2</v>
      </c>
      <c r="E1" s="7" t="s">
        <v>56</v>
      </c>
      <c r="F1" s="6" t="s">
        <v>3</v>
      </c>
      <c r="G1" s="7" t="s">
        <v>57</v>
      </c>
      <c r="H1" s="7" t="s">
        <v>58</v>
      </c>
      <c r="I1" s="6" t="s">
        <v>4</v>
      </c>
      <c r="J1" s="6" t="s">
        <v>5</v>
      </c>
      <c r="K1" s="6" t="s">
        <v>6</v>
      </c>
      <c r="L1" s="6" t="s">
        <v>59</v>
      </c>
    </row>
    <row r="2" spans="1:12" x14ac:dyDescent="0.3">
      <c r="A2" s="3">
        <v>1</v>
      </c>
      <c r="B2" s="1">
        <v>46023</v>
      </c>
      <c r="C2" s="9" t="s">
        <v>7</v>
      </c>
      <c r="D2" s="10" t="s">
        <v>12</v>
      </c>
      <c r="E2" s="4">
        <v>108.87</v>
      </c>
      <c r="F2" s="3">
        <v>71</v>
      </c>
      <c r="G2" s="4">
        <f>E2*F2</f>
        <v>7729.77</v>
      </c>
      <c r="H2" s="4">
        <v>1555.91</v>
      </c>
      <c r="I2" s="9" t="s">
        <v>8</v>
      </c>
      <c r="J2" s="9" t="s">
        <v>9</v>
      </c>
      <c r="K2" s="3" t="s">
        <v>10</v>
      </c>
      <c r="L2" s="3">
        <v>1</v>
      </c>
    </row>
    <row r="3" spans="1:12" x14ac:dyDescent="0.3">
      <c r="A3" s="3">
        <v>2</v>
      </c>
      <c r="B3" s="1">
        <v>46024</v>
      </c>
      <c r="C3" s="9" t="s">
        <v>11</v>
      </c>
      <c r="D3" s="10" t="s">
        <v>27</v>
      </c>
      <c r="E3" s="4">
        <v>14.99</v>
      </c>
      <c r="F3" s="3">
        <v>25</v>
      </c>
      <c r="G3" s="4">
        <f t="shared" ref="G3:G66" si="0">E3*F3</f>
        <v>374.75</v>
      </c>
      <c r="H3" s="4">
        <v>41.96</v>
      </c>
      <c r="I3" s="9" t="s">
        <v>13</v>
      </c>
      <c r="J3" s="9" t="s">
        <v>9</v>
      </c>
      <c r="K3" s="3" t="s">
        <v>10</v>
      </c>
      <c r="L3" s="3">
        <v>1</v>
      </c>
    </row>
    <row r="4" spans="1:12" x14ac:dyDescent="0.3">
      <c r="A4" s="3">
        <v>3</v>
      </c>
      <c r="B4" s="1">
        <v>46027</v>
      </c>
      <c r="C4" s="9" t="s">
        <v>14</v>
      </c>
      <c r="D4" s="10" t="s">
        <v>60</v>
      </c>
      <c r="E4" s="4">
        <v>279.74</v>
      </c>
      <c r="F4" s="3">
        <v>9</v>
      </c>
      <c r="G4" s="4">
        <f t="shared" si="0"/>
        <v>2517.66</v>
      </c>
      <c r="H4" s="4">
        <v>597.76</v>
      </c>
      <c r="I4" s="9" t="s">
        <v>16</v>
      </c>
      <c r="J4" s="9" t="s">
        <v>17</v>
      </c>
      <c r="K4" s="3" t="s">
        <v>10</v>
      </c>
      <c r="L4" s="3">
        <v>2</v>
      </c>
    </row>
    <row r="5" spans="1:12" x14ac:dyDescent="0.3">
      <c r="A5" s="3">
        <v>4</v>
      </c>
      <c r="B5" s="1">
        <v>46030</v>
      </c>
      <c r="C5" s="9" t="s">
        <v>7</v>
      </c>
      <c r="D5" s="10" t="s">
        <v>61</v>
      </c>
      <c r="E5" s="4">
        <v>494.57</v>
      </c>
      <c r="F5" s="3">
        <v>48</v>
      </c>
      <c r="G5" s="4">
        <f t="shared" si="0"/>
        <v>23739.360000000001</v>
      </c>
      <c r="H5" s="4">
        <v>5261.71</v>
      </c>
      <c r="I5" s="9" t="s">
        <v>18</v>
      </c>
      <c r="J5" s="9" t="s">
        <v>17</v>
      </c>
      <c r="K5" s="3" t="s">
        <v>10</v>
      </c>
      <c r="L5" s="3">
        <v>2</v>
      </c>
    </row>
    <row r="6" spans="1:12" x14ac:dyDescent="0.3">
      <c r="A6" s="3">
        <v>5</v>
      </c>
      <c r="B6" s="1">
        <v>46032</v>
      </c>
      <c r="C6" s="9" t="s">
        <v>19</v>
      </c>
      <c r="D6" s="10" t="s">
        <v>62</v>
      </c>
      <c r="E6" s="4">
        <v>154.05000000000001</v>
      </c>
      <c r="F6" s="3">
        <v>41</v>
      </c>
      <c r="G6" s="4">
        <f t="shared" si="0"/>
        <v>6316.05</v>
      </c>
      <c r="H6" s="4">
        <v>1530.86</v>
      </c>
      <c r="I6" s="9" t="s">
        <v>21</v>
      </c>
      <c r="J6" s="9" t="s">
        <v>22</v>
      </c>
      <c r="K6" s="3" t="s">
        <v>10</v>
      </c>
      <c r="L6" s="3">
        <v>2</v>
      </c>
    </row>
    <row r="7" spans="1:12" x14ac:dyDescent="0.3">
      <c r="A7" s="3">
        <v>6</v>
      </c>
      <c r="B7" s="1">
        <v>46054</v>
      </c>
      <c r="C7" s="9" t="s">
        <v>11</v>
      </c>
      <c r="D7" s="10" t="s">
        <v>12</v>
      </c>
      <c r="E7" s="4">
        <v>118.71</v>
      </c>
      <c r="F7" s="3">
        <v>45</v>
      </c>
      <c r="G7" s="4">
        <f t="shared" si="0"/>
        <v>5341.95</v>
      </c>
      <c r="H7" s="4">
        <v>1598.26</v>
      </c>
      <c r="I7" s="9" t="s">
        <v>16</v>
      </c>
      <c r="J7" s="9" t="s">
        <v>17</v>
      </c>
      <c r="K7" s="3" t="s">
        <v>29</v>
      </c>
      <c r="L7" s="3">
        <v>5</v>
      </c>
    </row>
    <row r="8" spans="1:12" x14ac:dyDescent="0.3">
      <c r="A8" s="3">
        <v>7</v>
      </c>
      <c r="B8" s="1">
        <v>46056</v>
      </c>
      <c r="C8" s="9" t="s">
        <v>14</v>
      </c>
      <c r="D8" s="10" t="s">
        <v>12</v>
      </c>
      <c r="E8" s="4">
        <v>41.4</v>
      </c>
      <c r="F8" s="3">
        <v>35</v>
      </c>
      <c r="G8" s="4">
        <f t="shared" si="0"/>
        <v>1449</v>
      </c>
      <c r="H8" s="4">
        <v>167.95</v>
      </c>
      <c r="I8" s="9" t="s">
        <v>54</v>
      </c>
      <c r="J8" s="9" t="s">
        <v>22</v>
      </c>
      <c r="K8" s="3" t="s">
        <v>29</v>
      </c>
      <c r="L8" s="3">
        <v>6</v>
      </c>
    </row>
    <row r="9" spans="1:12" x14ac:dyDescent="0.3">
      <c r="A9" s="3">
        <v>8</v>
      </c>
      <c r="B9" s="1">
        <v>46060</v>
      </c>
      <c r="C9" s="9" t="s">
        <v>19</v>
      </c>
      <c r="D9" s="10" t="s">
        <v>63</v>
      </c>
      <c r="E9" s="4">
        <v>230.25</v>
      </c>
      <c r="F9" s="3">
        <v>41</v>
      </c>
      <c r="G9" s="4">
        <f t="shared" si="0"/>
        <v>9440.25</v>
      </c>
      <c r="H9" s="4">
        <v>1306.6400000000001</v>
      </c>
      <c r="I9" s="9" t="s">
        <v>25</v>
      </c>
      <c r="J9" s="9" t="s">
        <v>9</v>
      </c>
      <c r="K9" s="3" t="s">
        <v>29</v>
      </c>
      <c r="L9" s="3">
        <v>6</v>
      </c>
    </row>
    <row r="10" spans="1:12" x14ac:dyDescent="0.3">
      <c r="A10" s="3">
        <v>9</v>
      </c>
      <c r="B10" s="1">
        <v>46063</v>
      </c>
      <c r="C10" s="9" t="s">
        <v>7</v>
      </c>
      <c r="D10" s="10" t="s">
        <v>12</v>
      </c>
      <c r="E10" s="4">
        <v>323.89</v>
      </c>
      <c r="F10" s="3">
        <v>15</v>
      </c>
      <c r="G10" s="4">
        <f t="shared" si="0"/>
        <v>4858.3499999999995</v>
      </c>
      <c r="H10" s="4">
        <v>1044.9000000000001</v>
      </c>
      <c r="I10" s="9" t="s">
        <v>8</v>
      </c>
      <c r="J10" s="9" t="s">
        <v>9</v>
      </c>
      <c r="K10" s="3" t="s">
        <v>29</v>
      </c>
      <c r="L10" s="3">
        <v>7</v>
      </c>
    </row>
    <row r="11" spans="1:12" x14ac:dyDescent="0.3">
      <c r="A11" s="3">
        <v>10</v>
      </c>
      <c r="B11" s="1">
        <v>46082</v>
      </c>
      <c r="C11" s="9" t="s">
        <v>11</v>
      </c>
      <c r="D11" s="10" t="s">
        <v>64</v>
      </c>
      <c r="E11" s="4">
        <v>73.900000000000006</v>
      </c>
      <c r="F11" s="3">
        <v>32</v>
      </c>
      <c r="G11" s="4">
        <f t="shared" si="0"/>
        <v>2364.8000000000002</v>
      </c>
      <c r="H11" s="4">
        <v>649.15</v>
      </c>
      <c r="I11" s="9" t="s">
        <v>13</v>
      </c>
      <c r="J11" s="9" t="s">
        <v>9</v>
      </c>
      <c r="K11" s="3" t="s">
        <v>32</v>
      </c>
      <c r="L11" s="3">
        <v>9</v>
      </c>
    </row>
    <row r="12" spans="1:12" x14ac:dyDescent="0.3">
      <c r="A12" s="3">
        <v>11</v>
      </c>
      <c r="B12" s="1">
        <v>46085</v>
      </c>
      <c r="C12" s="9" t="s">
        <v>14</v>
      </c>
      <c r="D12" s="10" t="s">
        <v>65</v>
      </c>
      <c r="E12" s="4">
        <v>256.13</v>
      </c>
      <c r="F12" s="3">
        <v>23</v>
      </c>
      <c r="G12" s="4">
        <f t="shared" si="0"/>
        <v>5890.99</v>
      </c>
      <c r="H12" s="4">
        <v>1647.48</v>
      </c>
      <c r="I12" s="9" t="s">
        <v>16</v>
      </c>
      <c r="J12" s="9" t="s">
        <v>17</v>
      </c>
      <c r="K12" s="3" t="s">
        <v>32</v>
      </c>
      <c r="L12" s="3">
        <v>10</v>
      </c>
    </row>
    <row r="13" spans="1:12" x14ac:dyDescent="0.3">
      <c r="A13" s="3">
        <v>12</v>
      </c>
      <c r="B13" s="1">
        <v>46087</v>
      </c>
      <c r="C13" s="9" t="s">
        <v>7</v>
      </c>
      <c r="D13" s="10" t="s">
        <v>60</v>
      </c>
      <c r="E13" s="4">
        <v>347.78</v>
      </c>
      <c r="F13" s="3">
        <v>65</v>
      </c>
      <c r="G13" s="4">
        <f t="shared" si="0"/>
        <v>22605.699999999997</v>
      </c>
      <c r="H13" s="4">
        <v>5907.7</v>
      </c>
      <c r="I13" s="9" t="s">
        <v>18</v>
      </c>
      <c r="J13" s="9" t="s">
        <v>17</v>
      </c>
      <c r="K13" s="3" t="s">
        <v>32</v>
      </c>
      <c r="L13" s="3">
        <v>10</v>
      </c>
    </row>
    <row r="14" spans="1:12" x14ac:dyDescent="0.3">
      <c r="A14" s="3">
        <v>13</v>
      </c>
      <c r="B14" s="1">
        <v>46089</v>
      </c>
      <c r="C14" s="9" t="s">
        <v>11</v>
      </c>
      <c r="D14" s="10" t="s">
        <v>26</v>
      </c>
      <c r="E14" s="4">
        <v>463.21</v>
      </c>
      <c r="F14" s="3">
        <v>97</v>
      </c>
      <c r="G14" s="4">
        <f t="shared" si="0"/>
        <v>44931.369999999995</v>
      </c>
      <c r="H14" s="4">
        <v>9210.31</v>
      </c>
      <c r="I14" s="9" t="s">
        <v>16</v>
      </c>
      <c r="J14" s="9" t="s">
        <v>17</v>
      </c>
      <c r="K14" s="3" t="s">
        <v>32</v>
      </c>
      <c r="L14" s="3">
        <v>10</v>
      </c>
    </row>
    <row r="15" spans="1:12" x14ac:dyDescent="0.3">
      <c r="A15" s="3">
        <v>14</v>
      </c>
      <c r="B15" s="1">
        <v>46114</v>
      </c>
      <c r="C15" s="9" t="s">
        <v>14</v>
      </c>
      <c r="D15" s="10" t="s">
        <v>65</v>
      </c>
      <c r="E15" s="4">
        <v>482.83</v>
      </c>
      <c r="F15" s="3">
        <v>87</v>
      </c>
      <c r="G15" s="4">
        <f t="shared" si="0"/>
        <v>42006.21</v>
      </c>
      <c r="H15" s="4">
        <v>11238.71</v>
      </c>
      <c r="I15" s="9" t="s">
        <v>24</v>
      </c>
      <c r="J15" s="9" t="s">
        <v>22</v>
      </c>
      <c r="K15" s="3" t="s">
        <v>33</v>
      </c>
      <c r="L15" s="3">
        <v>14</v>
      </c>
    </row>
    <row r="16" spans="1:12" x14ac:dyDescent="0.3">
      <c r="A16" s="3">
        <v>15</v>
      </c>
      <c r="B16" s="1">
        <v>46117</v>
      </c>
      <c r="C16" s="9" t="s">
        <v>19</v>
      </c>
      <c r="D16" s="10" t="s">
        <v>63</v>
      </c>
      <c r="E16" s="4">
        <v>90.53</v>
      </c>
      <c r="F16" s="3">
        <v>72</v>
      </c>
      <c r="G16" s="4">
        <f t="shared" si="0"/>
        <v>6518.16</v>
      </c>
      <c r="H16" s="4">
        <v>663.22</v>
      </c>
      <c r="I16" s="9" t="s">
        <v>21</v>
      </c>
      <c r="J16" s="9" t="s">
        <v>22</v>
      </c>
      <c r="K16" s="3" t="s">
        <v>33</v>
      </c>
      <c r="L16" s="3">
        <v>14</v>
      </c>
    </row>
    <row r="17" spans="1:12" x14ac:dyDescent="0.3">
      <c r="A17" s="3">
        <v>16</v>
      </c>
      <c r="B17" s="1">
        <v>46119</v>
      </c>
      <c r="C17" s="9" t="s">
        <v>7</v>
      </c>
      <c r="D17" s="10" t="s">
        <v>66</v>
      </c>
      <c r="E17" s="4">
        <v>192.73</v>
      </c>
      <c r="F17" s="3">
        <v>10</v>
      </c>
      <c r="G17" s="4">
        <f t="shared" si="0"/>
        <v>1927.3</v>
      </c>
      <c r="H17" s="4">
        <v>222.11</v>
      </c>
      <c r="I17" s="9" t="s">
        <v>8</v>
      </c>
      <c r="J17" s="9" t="s">
        <v>9</v>
      </c>
      <c r="K17" s="3" t="s">
        <v>33</v>
      </c>
      <c r="L17" s="3">
        <v>15</v>
      </c>
    </row>
    <row r="18" spans="1:12" x14ac:dyDescent="0.3">
      <c r="A18" s="3">
        <v>17</v>
      </c>
      <c r="B18" s="1">
        <v>46122</v>
      </c>
      <c r="C18" s="9" t="s">
        <v>11</v>
      </c>
      <c r="D18" s="10" t="s">
        <v>28</v>
      </c>
      <c r="E18" s="4">
        <v>444.12</v>
      </c>
      <c r="F18" s="3">
        <v>49</v>
      </c>
      <c r="G18" s="4">
        <f t="shared" si="0"/>
        <v>21761.88</v>
      </c>
      <c r="H18" s="4">
        <v>5867.18</v>
      </c>
      <c r="I18" s="9" t="s">
        <v>13</v>
      </c>
      <c r="J18" s="9" t="s">
        <v>9</v>
      </c>
      <c r="K18" s="3" t="s">
        <v>33</v>
      </c>
      <c r="L18" s="3">
        <v>15</v>
      </c>
    </row>
    <row r="19" spans="1:12" x14ac:dyDescent="0.3">
      <c r="A19" s="3">
        <v>18</v>
      </c>
      <c r="B19" s="1">
        <v>46124</v>
      </c>
      <c r="C19" s="9" t="s">
        <v>14</v>
      </c>
      <c r="D19" s="10" t="s">
        <v>26</v>
      </c>
      <c r="E19" s="4">
        <v>476.79</v>
      </c>
      <c r="F19" s="3">
        <v>8</v>
      </c>
      <c r="G19" s="4">
        <f t="shared" si="0"/>
        <v>3814.32</v>
      </c>
      <c r="H19" s="4">
        <v>717.27</v>
      </c>
      <c r="I19" s="9" t="s">
        <v>16</v>
      </c>
      <c r="J19" s="9" t="s">
        <v>17</v>
      </c>
      <c r="K19" s="3" t="s">
        <v>33</v>
      </c>
      <c r="L19" s="3">
        <v>15</v>
      </c>
    </row>
    <row r="20" spans="1:12" x14ac:dyDescent="0.3">
      <c r="A20" s="3">
        <v>19</v>
      </c>
      <c r="B20" s="1">
        <v>46126</v>
      </c>
      <c r="C20" s="9" t="s">
        <v>19</v>
      </c>
      <c r="D20" s="10" t="s">
        <v>67</v>
      </c>
      <c r="E20" s="4">
        <v>497</v>
      </c>
      <c r="F20" s="3">
        <v>21</v>
      </c>
      <c r="G20" s="4">
        <f t="shared" si="0"/>
        <v>10437</v>
      </c>
      <c r="H20" s="4">
        <v>1860.89</v>
      </c>
      <c r="I20" s="9" t="s">
        <v>18</v>
      </c>
      <c r="J20" s="9" t="s">
        <v>17</v>
      </c>
      <c r="K20" s="3" t="s">
        <v>33</v>
      </c>
      <c r="L20" s="3">
        <v>16</v>
      </c>
    </row>
    <row r="21" spans="1:12" x14ac:dyDescent="0.3">
      <c r="A21" s="3">
        <v>20</v>
      </c>
      <c r="B21" s="1">
        <v>46128</v>
      </c>
      <c r="C21" s="9" t="s">
        <v>7</v>
      </c>
      <c r="D21" s="10" t="s">
        <v>27</v>
      </c>
      <c r="E21" s="4">
        <v>292.5</v>
      </c>
      <c r="F21" s="3">
        <v>64</v>
      </c>
      <c r="G21" s="4">
        <f t="shared" si="0"/>
        <v>18720</v>
      </c>
      <c r="H21" s="4">
        <v>2091.42</v>
      </c>
      <c r="I21" s="9" t="s">
        <v>16</v>
      </c>
      <c r="J21" s="9" t="s">
        <v>17</v>
      </c>
      <c r="K21" s="3" t="s">
        <v>33</v>
      </c>
      <c r="L21" s="3">
        <v>16</v>
      </c>
    </row>
    <row r="22" spans="1:12" x14ac:dyDescent="0.3">
      <c r="A22" s="3">
        <v>21</v>
      </c>
      <c r="B22" s="1">
        <v>46130</v>
      </c>
      <c r="C22" s="9" t="s">
        <v>14</v>
      </c>
      <c r="D22" s="10" t="s">
        <v>15</v>
      </c>
      <c r="E22" s="4">
        <v>345.7</v>
      </c>
      <c r="F22" s="3">
        <v>98</v>
      </c>
      <c r="G22" s="4">
        <f t="shared" si="0"/>
        <v>33878.6</v>
      </c>
      <c r="H22" s="4">
        <v>7700.14</v>
      </c>
      <c r="I22" s="9" t="s">
        <v>24</v>
      </c>
      <c r="J22" s="9" t="s">
        <v>22</v>
      </c>
      <c r="K22" s="3" t="s">
        <v>33</v>
      </c>
      <c r="L22" s="3">
        <v>16</v>
      </c>
    </row>
    <row r="23" spans="1:12" x14ac:dyDescent="0.3">
      <c r="A23" s="3">
        <v>22</v>
      </c>
      <c r="B23" s="1">
        <v>46132</v>
      </c>
      <c r="C23" s="9" t="s">
        <v>19</v>
      </c>
      <c r="D23" s="10" t="s">
        <v>63</v>
      </c>
      <c r="E23" s="4">
        <v>309.81</v>
      </c>
      <c r="F23" s="3">
        <v>80</v>
      </c>
      <c r="G23" s="4">
        <f t="shared" si="0"/>
        <v>24784.799999999999</v>
      </c>
      <c r="H23" s="4">
        <v>6238.83</v>
      </c>
      <c r="I23" s="9" t="s">
        <v>21</v>
      </c>
      <c r="J23" s="9" t="s">
        <v>22</v>
      </c>
      <c r="K23" s="3" t="s">
        <v>33</v>
      </c>
      <c r="L23" s="3">
        <v>17</v>
      </c>
    </row>
    <row r="24" spans="1:12" x14ac:dyDescent="0.3">
      <c r="A24" s="3">
        <v>23</v>
      </c>
      <c r="B24" s="1">
        <v>46134</v>
      </c>
      <c r="C24" s="9" t="s">
        <v>7</v>
      </c>
      <c r="D24" s="10" t="s">
        <v>52</v>
      </c>
      <c r="E24" s="4">
        <v>198.03</v>
      </c>
      <c r="F24" s="3">
        <v>88</v>
      </c>
      <c r="G24" s="4">
        <f t="shared" si="0"/>
        <v>17426.64</v>
      </c>
      <c r="H24" s="4">
        <v>2102.69</v>
      </c>
      <c r="I24" s="9" t="s">
        <v>8</v>
      </c>
      <c r="J24" s="9" t="s">
        <v>9</v>
      </c>
      <c r="K24" s="3" t="s">
        <v>33</v>
      </c>
      <c r="L24" s="3">
        <v>17</v>
      </c>
    </row>
    <row r="25" spans="1:12" x14ac:dyDescent="0.3">
      <c r="A25" s="3">
        <v>24</v>
      </c>
      <c r="B25" s="1">
        <v>46147</v>
      </c>
      <c r="C25" s="9" t="s">
        <v>11</v>
      </c>
      <c r="D25" s="10" t="s">
        <v>27</v>
      </c>
      <c r="E25" s="4">
        <v>398.97</v>
      </c>
      <c r="F25" s="3">
        <v>84</v>
      </c>
      <c r="G25" s="4">
        <f t="shared" si="0"/>
        <v>33513.480000000003</v>
      </c>
      <c r="H25" s="4">
        <v>8721.85</v>
      </c>
      <c r="I25" s="9" t="s">
        <v>13</v>
      </c>
      <c r="J25" s="9" t="s">
        <v>9</v>
      </c>
      <c r="K25" s="3" t="s">
        <v>35</v>
      </c>
      <c r="L25" s="3">
        <v>19</v>
      </c>
    </row>
    <row r="26" spans="1:12" x14ac:dyDescent="0.3">
      <c r="A26" s="3">
        <v>25</v>
      </c>
      <c r="B26" s="1">
        <v>46149</v>
      </c>
      <c r="C26" s="9" t="s">
        <v>14</v>
      </c>
      <c r="D26" s="10" t="s">
        <v>52</v>
      </c>
      <c r="E26" s="4">
        <v>79.510000000000005</v>
      </c>
      <c r="F26" s="3">
        <v>19</v>
      </c>
      <c r="G26" s="4">
        <f t="shared" si="0"/>
        <v>1510.69</v>
      </c>
      <c r="H26" s="4">
        <v>319.61</v>
      </c>
      <c r="I26" s="9" t="s">
        <v>16</v>
      </c>
      <c r="J26" s="9" t="s">
        <v>17</v>
      </c>
      <c r="K26" s="3" t="s">
        <v>35</v>
      </c>
      <c r="L26" s="3">
        <v>19</v>
      </c>
    </row>
    <row r="27" spans="1:12" x14ac:dyDescent="0.3">
      <c r="A27" s="3">
        <v>26</v>
      </c>
      <c r="B27" s="1">
        <v>46151</v>
      </c>
      <c r="C27" s="9" t="s">
        <v>19</v>
      </c>
      <c r="D27" s="10" t="s">
        <v>34</v>
      </c>
      <c r="E27" s="4">
        <v>110.28</v>
      </c>
      <c r="F27" s="3">
        <v>71</v>
      </c>
      <c r="G27" s="4">
        <f t="shared" si="0"/>
        <v>7829.88</v>
      </c>
      <c r="H27" s="4">
        <v>1101.8399999999999</v>
      </c>
      <c r="I27" s="9" t="s">
        <v>18</v>
      </c>
      <c r="J27" s="9" t="s">
        <v>17</v>
      </c>
      <c r="K27" s="3" t="s">
        <v>35</v>
      </c>
      <c r="L27" s="3">
        <v>19</v>
      </c>
    </row>
    <row r="28" spans="1:12" x14ac:dyDescent="0.3">
      <c r="A28" s="3">
        <v>27</v>
      </c>
      <c r="B28" s="1">
        <v>46153</v>
      </c>
      <c r="C28" s="9" t="s">
        <v>7</v>
      </c>
      <c r="D28" s="10" t="s">
        <v>26</v>
      </c>
      <c r="E28" s="4">
        <v>243.37</v>
      </c>
      <c r="F28" s="3">
        <v>26</v>
      </c>
      <c r="G28" s="4">
        <f t="shared" si="0"/>
        <v>6327.62</v>
      </c>
      <c r="H28" s="4">
        <v>667.86</v>
      </c>
      <c r="I28" s="9" t="s">
        <v>54</v>
      </c>
      <c r="J28" s="9" t="s">
        <v>17</v>
      </c>
      <c r="K28" s="3" t="s">
        <v>35</v>
      </c>
      <c r="L28" s="3">
        <v>20</v>
      </c>
    </row>
    <row r="29" spans="1:12" x14ac:dyDescent="0.3">
      <c r="A29" s="3">
        <v>28</v>
      </c>
      <c r="B29" s="1">
        <v>46155</v>
      </c>
      <c r="C29" s="9" t="s">
        <v>11</v>
      </c>
      <c r="D29" s="10" t="s">
        <v>68</v>
      </c>
      <c r="E29" s="4">
        <v>395.39</v>
      </c>
      <c r="F29" s="3">
        <v>84</v>
      </c>
      <c r="G29" s="4">
        <f t="shared" si="0"/>
        <v>33212.76</v>
      </c>
      <c r="H29" s="4">
        <v>9620.9599999999991</v>
      </c>
      <c r="I29" s="9" t="s">
        <v>24</v>
      </c>
      <c r="J29" s="9" t="s">
        <v>22</v>
      </c>
      <c r="K29" s="3" t="s">
        <v>35</v>
      </c>
      <c r="L29" s="3">
        <v>20</v>
      </c>
    </row>
    <row r="30" spans="1:12" x14ac:dyDescent="0.3">
      <c r="A30" s="3">
        <v>29</v>
      </c>
      <c r="B30" s="1">
        <v>46157</v>
      </c>
      <c r="C30" s="9" t="s">
        <v>14</v>
      </c>
      <c r="D30" s="10" t="s">
        <v>66</v>
      </c>
      <c r="E30" s="4">
        <v>366.38</v>
      </c>
      <c r="F30" s="3">
        <v>23</v>
      </c>
      <c r="G30" s="4">
        <f t="shared" si="0"/>
        <v>8426.74</v>
      </c>
      <c r="H30" s="4">
        <v>1293.47</v>
      </c>
      <c r="I30" s="9" t="s">
        <v>21</v>
      </c>
      <c r="J30" s="9" t="s">
        <v>22</v>
      </c>
      <c r="K30" s="3" t="s">
        <v>35</v>
      </c>
      <c r="L30" s="3">
        <v>20</v>
      </c>
    </row>
    <row r="31" spans="1:12" x14ac:dyDescent="0.3">
      <c r="A31" s="3">
        <v>30</v>
      </c>
      <c r="B31" s="1">
        <v>46159</v>
      </c>
      <c r="C31" s="9" t="s">
        <v>19</v>
      </c>
      <c r="D31" s="10" t="s">
        <v>52</v>
      </c>
      <c r="E31" s="4">
        <v>144.77000000000001</v>
      </c>
      <c r="F31" s="3">
        <v>7</v>
      </c>
      <c r="G31" s="4">
        <f t="shared" si="0"/>
        <v>1013.3900000000001</v>
      </c>
      <c r="H31" s="4">
        <v>181.81</v>
      </c>
      <c r="I31" s="9" t="s">
        <v>8</v>
      </c>
      <c r="J31" s="9" t="s">
        <v>9</v>
      </c>
      <c r="K31" s="3" t="s">
        <v>35</v>
      </c>
      <c r="L31" s="3">
        <v>20</v>
      </c>
    </row>
    <row r="32" spans="1:12" x14ac:dyDescent="0.3">
      <c r="A32" s="3">
        <v>31</v>
      </c>
      <c r="B32" s="1">
        <v>46161</v>
      </c>
      <c r="C32" s="9" t="s">
        <v>7</v>
      </c>
      <c r="D32" s="10" t="s">
        <v>27</v>
      </c>
      <c r="E32" s="4">
        <v>394.39</v>
      </c>
      <c r="F32" s="3">
        <v>25</v>
      </c>
      <c r="G32" s="4">
        <f t="shared" si="0"/>
        <v>9859.75</v>
      </c>
      <c r="H32" s="4">
        <v>2470.4499999999998</v>
      </c>
      <c r="I32" s="9" t="s">
        <v>13</v>
      </c>
      <c r="J32" s="9" t="s">
        <v>9</v>
      </c>
      <c r="K32" s="3" t="s">
        <v>35</v>
      </c>
      <c r="L32" s="3">
        <v>21</v>
      </c>
    </row>
    <row r="33" spans="1:12" x14ac:dyDescent="0.3">
      <c r="A33" s="3">
        <v>32</v>
      </c>
      <c r="B33" s="1">
        <v>46163</v>
      </c>
      <c r="C33" s="9" t="s">
        <v>11</v>
      </c>
      <c r="D33" s="10" t="s">
        <v>20</v>
      </c>
      <c r="E33" s="4">
        <v>16.510000000000002</v>
      </c>
      <c r="F33" s="3">
        <v>83</v>
      </c>
      <c r="G33" s="4">
        <f t="shared" si="0"/>
        <v>1370.3300000000002</v>
      </c>
      <c r="H33" s="4">
        <v>372.32</v>
      </c>
      <c r="I33" s="9" t="s">
        <v>16</v>
      </c>
      <c r="J33" s="9" t="s">
        <v>17</v>
      </c>
      <c r="K33" s="3" t="s">
        <v>35</v>
      </c>
      <c r="L33" s="3">
        <v>21</v>
      </c>
    </row>
    <row r="34" spans="1:12" x14ac:dyDescent="0.3">
      <c r="A34" s="3">
        <v>33</v>
      </c>
      <c r="B34" s="1">
        <v>46165</v>
      </c>
      <c r="C34" s="9" t="s">
        <v>14</v>
      </c>
      <c r="D34" s="10" t="s">
        <v>65</v>
      </c>
      <c r="E34" s="4">
        <v>245.98</v>
      </c>
      <c r="F34" s="3">
        <v>5</v>
      </c>
      <c r="G34" s="4">
        <f t="shared" si="0"/>
        <v>1229.8999999999999</v>
      </c>
      <c r="H34" s="4">
        <v>216.79</v>
      </c>
      <c r="I34" s="9" t="s">
        <v>18</v>
      </c>
      <c r="J34" s="9" t="s">
        <v>17</v>
      </c>
      <c r="K34" s="3" t="s">
        <v>35</v>
      </c>
      <c r="L34" s="3">
        <v>21</v>
      </c>
    </row>
    <row r="35" spans="1:12" x14ac:dyDescent="0.3">
      <c r="A35" s="3">
        <v>34</v>
      </c>
      <c r="B35" s="1">
        <v>46167</v>
      </c>
      <c r="C35" s="9" t="s">
        <v>19</v>
      </c>
      <c r="D35" s="10" t="s">
        <v>23</v>
      </c>
      <c r="E35" s="4">
        <v>8.59</v>
      </c>
      <c r="F35" s="3">
        <v>40</v>
      </c>
      <c r="G35" s="4">
        <f t="shared" si="0"/>
        <v>343.6</v>
      </c>
      <c r="H35" s="4">
        <v>38.68</v>
      </c>
      <c r="I35" s="9" t="s">
        <v>16</v>
      </c>
      <c r="J35" s="9" t="s">
        <v>17</v>
      </c>
      <c r="K35" s="3" t="s">
        <v>35</v>
      </c>
      <c r="L35" s="3">
        <v>22</v>
      </c>
    </row>
    <row r="36" spans="1:12" x14ac:dyDescent="0.3">
      <c r="A36" s="3">
        <v>35</v>
      </c>
      <c r="B36" s="1">
        <v>46169</v>
      </c>
      <c r="C36" s="9" t="s">
        <v>7</v>
      </c>
      <c r="D36" s="10" t="s">
        <v>12</v>
      </c>
      <c r="E36" s="4">
        <v>216.97</v>
      </c>
      <c r="F36" s="3">
        <v>41</v>
      </c>
      <c r="G36" s="4">
        <f t="shared" si="0"/>
        <v>8895.77</v>
      </c>
      <c r="H36" s="4">
        <v>988.29</v>
      </c>
      <c r="I36" s="9" t="s">
        <v>24</v>
      </c>
      <c r="J36" s="9" t="s">
        <v>22</v>
      </c>
      <c r="K36" s="3" t="s">
        <v>35</v>
      </c>
      <c r="L36" s="3">
        <v>22</v>
      </c>
    </row>
    <row r="37" spans="1:12" x14ac:dyDescent="0.3">
      <c r="A37" s="3">
        <v>36</v>
      </c>
      <c r="B37" s="1">
        <v>46171</v>
      </c>
      <c r="C37" s="9" t="s">
        <v>11</v>
      </c>
      <c r="D37" s="10" t="s">
        <v>28</v>
      </c>
      <c r="E37" s="4">
        <v>154.37</v>
      </c>
      <c r="F37" s="3">
        <v>42</v>
      </c>
      <c r="G37" s="4">
        <f t="shared" si="0"/>
        <v>6483.54</v>
      </c>
      <c r="H37" s="4">
        <v>1756.56</v>
      </c>
      <c r="I37" s="9" t="s">
        <v>21</v>
      </c>
      <c r="J37" s="9" t="s">
        <v>22</v>
      </c>
      <c r="K37" s="3" t="s">
        <v>35</v>
      </c>
      <c r="L37" s="3">
        <v>22</v>
      </c>
    </row>
    <row r="38" spans="1:12" x14ac:dyDescent="0.3">
      <c r="A38" s="3">
        <v>37</v>
      </c>
      <c r="B38" s="1">
        <v>46174</v>
      </c>
      <c r="C38" s="9" t="s">
        <v>14</v>
      </c>
      <c r="D38" s="10" t="s">
        <v>60</v>
      </c>
      <c r="E38" s="4">
        <v>133.82</v>
      </c>
      <c r="F38" s="3">
        <v>12</v>
      </c>
      <c r="G38" s="4">
        <f t="shared" si="0"/>
        <v>1605.84</v>
      </c>
      <c r="H38" s="4">
        <v>444.39</v>
      </c>
      <c r="I38" s="9" t="s">
        <v>8</v>
      </c>
      <c r="J38" s="9" t="s">
        <v>9</v>
      </c>
      <c r="K38" s="3" t="s">
        <v>41</v>
      </c>
      <c r="L38" s="3">
        <v>23</v>
      </c>
    </row>
    <row r="39" spans="1:12" x14ac:dyDescent="0.3">
      <c r="A39" s="3">
        <v>38</v>
      </c>
      <c r="B39" s="1">
        <v>46176</v>
      </c>
      <c r="C39" s="9" t="s">
        <v>19</v>
      </c>
      <c r="D39" s="10" t="s">
        <v>28</v>
      </c>
      <c r="E39" s="4">
        <v>62.17</v>
      </c>
      <c r="F39" s="3">
        <v>38</v>
      </c>
      <c r="G39" s="4">
        <f t="shared" si="0"/>
        <v>2362.46</v>
      </c>
      <c r="H39" s="4">
        <v>456</v>
      </c>
      <c r="I39" s="9" t="s">
        <v>13</v>
      </c>
      <c r="J39" s="9" t="s">
        <v>9</v>
      </c>
      <c r="K39" s="3" t="s">
        <v>41</v>
      </c>
      <c r="L39" s="3">
        <v>23</v>
      </c>
    </row>
    <row r="40" spans="1:12" x14ac:dyDescent="0.3">
      <c r="A40" s="3">
        <v>39</v>
      </c>
      <c r="B40" s="1">
        <v>46178</v>
      </c>
      <c r="C40" s="9" t="s">
        <v>7</v>
      </c>
      <c r="D40" s="10" t="s">
        <v>68</v>
      </c>
      <c r="E40" s="4">
        <v>489.76</v>
      </c>
      <c r="F40" s="3">
        <v>34</v>
      </c>
      <c r="G40" s="4">
        <f t="shared" si="0"/>
        <v>16651.84</v>
      </c>
      <c r="H40" s="4">
        <v>4086.81</v>
      </c>
      <c r="I40" s="9" t="s">
        <v>16</v>
      </c>
      <c r="J40" s="9" t="s">
        <v>17</v>
      </c>
      <c r="K40" s="3" t="s">
        <v>41</v>
      </c>
      <c r="L40" s="3">
        <v>23</v>
      </c>
    </row>
    <row r="41" spans="1:12" x14ac:dyDescent="0.3">
      <c r="A41" s="3">
        <v>40</v>
      </c>
      <c r="B41" s="1">
        <v>46180</v>
      </c>
      <c r="C41" s="9" t="s">
        <v>11</v>
      </c>
      <c r="D41" s="10" t="s">
        <v>27</v>
      </c>
      <c r="E41" s="4">
        <v>82.51</v>
      </c>
      <c r="F41" s="3">
        <v>70</v>
      </c>
      <c r="G41" s="4">
        <f t="shared" si="0"/>
        <v>5775.7000000000007</v>
      </c>
      <c r="H41" s="4">
        <v>819.48</v>
      </c>
      <c r="I41" s="9" t="s">
        <v>80</v>
      </c>
      <c r="J41" s="9" t="s">
        <v>9</v>
      </c>
      <c r="K41" s="3" t="s">
        <v>41</v>
      </c>
      <c r="L41" s="3">
        <v>23</v>
      </c>
    </row>
    <row r="42" spans="1:12" x14ac:dyDescent="0.3">
      <c r="A42" s="3">
        <v>41</v>
      </c>
      <c r="B42" s="1">
        <v>46182</v>
      </c>
      <c r="C42" s="9" t="s">
        <v>14</v>
      </c>
      <c r="D42" s="10" t="s">
        <v>28</v>
      </c>
      <c r="E42" s="4">
        <v>456.74</v>
      </c>
      <c r="F42" s="3">
        <v>22</v>
      </c>
      <c r="G42" s="4">
        <f t="shared" si="0"/>
        <v>10048.280000000001</v>
      </c>
      <c r="H42" s="4">
        <v>2509.0500000000002</v>
      </c>
      <c r="I42" s="9" t="s">
        <v>16</v>
      </c>
      <c r="J42" s="9" t="s">
        <v>17</v>
      </c>
      <c r="K42" s="3" t="s">
        <v>41</v>
      </c>
      <c r="L42" s="3">
        <v>24</v>
      </c>
    </row>
    <row r="43" spans="1:12" x14ac:dyDescent="0.3">
      <c r="A43" s="3">
        <v>42</v>
      </c>
      <c r="B43" s="1">
        <v>46183</v>
      </c>
      <c r="C43" s="9" t="s">
        <v>19</v>
      </c>
      <c r="D43" s="10" t="s">
        <v>23</v>
      </c>
      <c r="E43" s="4">
        <v>105.66</v>
      </c>
      <c r="F43" s="3">
        <v>83</v>
      </c>
      <c r="G43" s="4">
        <f t="shared" si="0"/>
        <v>8769.7799999999988</v>
      </c>
      <c r="H43" s="4">
        <v>1866.03</v>
      </c>
      <c r="I43" s="9" t="s">
        <v>24</v>
      </c>
      <c r="J43" s="9" t="s">
        <v>22</v>
      </c>
      <c r="K43" s="3" t="s">
        <v>41</v>
      </c>
      <c r="L43" s="3">
        <v>24</v>
      </c>
    </row>
    <row r="44" spans="1:12" x14ac:dyDescent="0.3">
      <c r="A44" s="3">
        <v>43</v>
      </c>
      <c r="B44" s="1">
        <v>46185</v>
      </c>
      <c r="C44" s="9" t="s">
        <v>7</v>
      </c>
      <c r="D44" s="10" t="s">
        <v>23</v>
      </c>
      <c r="E44" s="4">
        <v>297.55</v>
      </c>
      <c r="F44" s="3">
        <v>31</v>
      </c>
      <c r="G44" s="4">
        <f t="shared" si="0"/>
        <v>9224.0500000000011</v>
      </c>
      <c r="H44" s="4">
        <v>974.28</v>
      </c>
      <c r="I44" s="9" t="s">
        <v>21</v>
      </c>
      <c r="J44" s="9" t="s">
        <v>22</v>
      </c>
      <c r="K44" s="3" t="s">
        <v>41</v>
      </c>
      <c r="L44" s="3">
        <v>24</v>
      </c>
    </row>
    <row r="45" spans="1:12" x14ac:dyDescent="0.3">
      <c r="A45" s="3">
        <v>44</v>
      </c>
      <c r="B45" s="1">
        <v>46187</v>
      </c>
      <c r="C45" s="9" t="s">
        <v>11</v>
      </c>
      <c r="D45" s="10" t="s">
        <v>12</v>
      </c>
      <c r="E45" s="4">
        <v>9.6999999999999993</v>
      </c>
      <c r="F45" s="3">
        <v>93</v>
      </c>
      <c r="G45" s="4">
        <f t="shared" si="0"/>
        <v>902.09999999999991</v>
      </c>
      <c r="H45" s="4">
        <v>207.12</v>
      </c>
      <c r="I45" s="9" t="s">
        <v>8</v>
      </c>
      <c r="J45" s="9" t="s">
        <v>9</v>
      </c>
      <c r="K45" s="3" t="s">
        <v>41</v>
      </c>
      <c r="L45" s="3">
        <v>24</v>
      </c>
    </row>
    <row r="46" spans="1:12" x14ac:dyDescent="0.3">
      <c r="A46" s="3">
        <v>45</v>
      </c>
      <c r="B46" s="1">
        <v>46189</v>
      </c>
      <c r="C46" s="9" t="s">
        <v>14</v>
      </c>
      <c r="D46" s="10" t="s">
        <v>30</v>
      </c>
      <c r="E46" s="4">
        <v>217.66</v>
      </c>
      <c r="F46" s="3">
        <v>85</v>
      </c>
      <c r="G46" s="4">
        <f t="shared" si="0"/>
        <v>18501.099999999999</v>
      </c>
      <c r="H46" s="4">
        <v>5303.18</v>
      </c>
      <c r="I46" s="9" t="s">
        <v>13</v>
      </c>
      <c r="J46" s="9" t="s">
        <v>9</v>
      </c>
      <c r="K46" s="3" t="s">
        <v>41</v>
      </c>
      <c r="L46" s="3">
        <v>25</v>
      </c>
    </row>
    <row r="47" spans="1:12" x14ac:dyDescent="0.3">
      <c r="A47" s="3">
        <v>46</v>
      </c>
      <c r="B47" s="1">
        <v>46191</v>
      </c>
      <c r="C47" s="9" t="s">
        <v>19</v>
      </c>
      <c r="D47" s="10" t="s">
        <v>23</v>
      </c>
      <c r="E47" s="4">
        <v>424.73</v>
      </c>
      <c r="F47" s="3">
        <v>64</v>
      </c>
      <c r="G47" s="4">
        <f t="shared" si="0"/>
        <v>27182.720000000001</v>
      </c>
      <c r="H47" s="4">
        <v>4546.59</v>
      </c>
      <c r="I47" s="9" t="s">
        <v>77</v>
      </c>
      <c r="J47" s="9" t="s">
        <v>9</v>
      </c>
      <c r="K47" s="3" t="s">
        <v>41</v>
      </c>
      <c r="L47" s="3">
        <v>25</v>
      </c>
    </row>
    <row r="48" spans="1:12" x14ac:dyDescent="0.3">
      <c r="A48" s="3">
        <v>47</v>
      </c>
      <c r="B48" s="1">
        <v>46193</v>
      </c>
      <c r="C48" s="9" t="s">
        <v>7</v>
      </c>
      <c r="D48" s="10" t="s">
        <v>69</v>
      </c>
      <c r="E48" s="4">
        <v>250.93</v>
      </c>
      <c r="F48" s="3">
        <v>52</v>
      </c>
      <c r="G48" s="4">
        <f t="shared" si="0"/>
        <v>13048.36</v>
      </c>
      <c r="H48" s="4">
        <v>2802.37</v>
      </c>
      <c r="I48" s="9" t="s">
        <v>18</v>
      </c>
      <c r="J48" s="9" t="s">
        <v>17</v>
      </c>
      <c r="K48" s="3" t="s">
        <v>41</v>
      </c>
      <c r="L48" s="3">
        <v>25</v>
      </c>
    </row>
    <row r="49" spans="1:12" x14ac:dyDescent="0.3">
      <c r="A49" s="3">
        <v>48</v>
      </c>
      <c r="B49" s="1">
        <v>46195</v>
      </c>
      <c r="C49" s="9" t="s">
        <v>11</v>
      </c>
      <c r="D49" s="10" t="s">
        <v>68</v>
      </c>
      <c r="E49" s="4">
        <v>340.54</v>
      </c>
      <c r="F49" s="3">
        <v>60</v>
      </c>
      <c r="G49" s="4">
        <f t="shared" si="0"/>
        <v>20432.400000000001</v>
      </c>
      <c r="H49" s="4">
        <v>3880.07</v>
      </c>
      <c r="I49" s="9" t="s">
        <v>16</v>
      </c>
      <c r="J49" s="9" t="s">
        <v>17</v>
      </c>
      <c r="K49" s="3" t="s">
        <v>41</v>
      </c>
      <c r="L49" s="3">
        <v>26</v>
      </c>
    </row>
    <row r="50" spans="1:12" x14ac:dyDescent="0.3">
      <c r="A50" s="3">
        <v>49</v>
      </c>
      <c r="B50" s="1">
        <v>46197</v>
      </c>
      <c r="C50" s="9" t="s">
        <v>7</v>
      </c>
      <c r="D50" s="10" t="s">
        <v>68</v>
      </c>
      <c r="E50" s="4">
        <v>205.69</v>
      </c>
      <c r="F50" s="3">
        <v>23</v>
      </c>
      <c r="G50" s="4">
        <f t="shared" si="0"/>
        <v>4730.87</v>
      </c>
      <c r="H50" s="4">
        <v>770.78</v>
      </c>
      <c r="I50" s="9" t="s">
        <v>24</v>
      </c>
      <c r="J50" s="9" t="s">
        <v>22</v>
      </c>
      <c r="K50" s="3" t="s">
        <v>41</v>
      </c>
      <c r="L50" s="3">
        <v>26</v>
      </c>
    </row>
    <row r="51" spans="1:12" x14ac:dyDescent="0.3">
      <c r="A51" s="3">
        <v>50</v>
      </c>
      <c r="B51" s="1">
        <v>46199</v>
      </c>
      <c r="C51" s="9" t="s">
        <v>11</v>
      </c>
      <c r="D51" s="10" t="s">
        <v>52</v>
      </c>
      <c r="E51" s="4">
        <v>355.06</v>
      </c>
      <c r="F51" s="3">
        <v>60</v>
      </c>
      <c r="G51" s="4">
        <f t="shared" si="0"/>
        <v>21303.599999999999</v>
      </c>
      <c r="H51" s="4">
        <v>4040.29</v>
      </c>
      <c r="I51" s="9" t="s">
        <v>21</v>
      </c>
      <c r="J51" s="9" t="s">
        <v>22</v>
      </c>
      <c r="K51" s="3" t="s">
        <v>41</v>
      </c>
      <c r="L51" s="3">
        <v>26</v>
      </c>
    </row>
    <row r="52" spans="1:12" x14ac:dyDescent="0.3">
      <c r="A52" s="3">
        <v>51</v>
      </c>
      <c r="B52" s="1">
        <v>46204</v>
      </c>
      <c r="C52" s="9" t="s">
        <v>14</v>
      </c>
      <c r="D52" s="10" t="s">
        <v>15</v>
      </c>
      <c r="E52" s="4">
        <v>47.9</v>
      </c>
      <c r="F52" s="3">
        <v>3</v>
      </c>
      <c r="G52" s="4">
        <f t="shared" si="0"/>
        <v>143.69999999999999</v>
      </c>
      <c r="H52" s="4">
        <v>35.200000000000003</v>
      </c>
      <c r="I52" s="9" t="s">
        <v>77</v>
      </c>
      <c r="J52" s="9" t="s">
        <v>9</v>
      </c>
      <c r="K52" s="3" t="s">
        <v>51</v>
      </c>
      <c r="L52" s="3">
        <v>27</v>
      </c>
    </row>
    <row r="53" spans="1:12" x14ac:dyDescent="0.3">
      <c r="A53" s="3">
        <v>52</v>
      </c>
      <c r="B53" s="1">
        <v>46206</v>
      </c>
      <c r="C53" s="9" t="s">
        <v>7</v>
      </c>
      <c r="D53" s="10" t="s">
        <v>69</v>
      </c>
      <c r="E53" s="4">
        <v>154.86000000000001</v>
      </c>
      <c r="F53" s="3">
        <v>95</v>
      </c>
      <c r="G53" s="4">
        <f t="shared" si="0"/>
        <v>14711.7</v>
      </c>
      <c r="H53" s="4">
        <v>3263.14</v>
      </c>
      <c r="I53" s="9" t="s">
        <v>18</v>
      </c>
      <c r="J53" s="9" t="s">
        <v>17</v>
      </c>
      <c r="K53" s="3" t="s">
        <v>51</v>
      </c>
      <c r="L53" s="3">
        <v>27</v>
      </c>
    </row>
    <row r="54" spans="1:12" x14ac:dyDescent="0.3">
      <c r="A54" s="3">
        <v>53</v>
      </c>
      <c r="B54" s="1">
        <v>46208</v>
      </c>
      <c r="C54" s="9" t="s">
        <v>11</v>
      </c>
      <c r="D54" s="10" t="s">
        <v>64</v>
      </c>
      <c r="E54" s="4">
        <v>124.48</v>
      </c>
      <c r="F54" s="3">
        <v>100</v>
      </c>
      <c r="G54" s="4">
        <f t="shared" si="0"/>
        <v>12448</v>
      </c>
      <c r="H54" s="4">
        <v>1583.47</v>
      </c>
      <c r="I54" s="9" t="s">
        <v>18</v>
      </c>
      <c r="J54" s="9" t="s">
        <v>17</v>
      </c>
      <c r="K54" s="3" t="s">
        <v>51</v>
      </c>
      <c r="L54" s="3">
        <v>27</v>
      </c>
    </row>
    <row r="55" spans="1:12" x14ac:dyDescent="0.3">
      <c r="A55" s="3">
        <v>54</v>
      </c>
      <c r="B55" s="1">
        <v>46210</v>
      </c>
      <c r="C55" s="9" t="s">
        <v>14</v>
      </c>
      <c r="D55" s="10" t="s">
        <v>15</v>
      </c>
      <c r="E55" s="4">
        <v>455.65</v>
      </c>
      <c r="F55" s="3">
        <v>7</v>
      </c>
      <c r="G55" s="4">
        <f t="shared" si="0"/>
        <v>3189.5499999999997</v>
      </c>
      <c r="H55" s="4">
        <v>733.81</v>
      </c>
      <c r="I55" s="9" t="s">
        <v>80</v>
      </c>
      <c r="J55" s="9" t="s">
        <v>9</v>
      </c>
      <c r="K55" s="3" t="s">
        <v>51</v>
      </c>
      <c r="L55" s="3">
        <v>28</v>
      </c>
    </row>
    <row r="56" spans="1:12" x14ac:dyDescent="0.3">
      <c r="A56" s="3">
        <v>55</v>
      </c>
      <c r="B56" s="1">
        <v>46212</v>
      </c>
      <c r="C56" s="9" t="s">
        <v>19</v>
      </c>
      <c r="D56" s="10" t="s">
        <v>27</v>
      </c>
      <c r="E56" s="4">
        <v>116.49</v>
      </c>
      <c r="F56" s="3">
        <v>74</v>
      </c>
      <c r="G56" s="4">
        <f t="shared" si="0"/>
        <v>8620.26</v>
      </c>
      <c r="H56" s="4">
        <v>2218.9499999999998</v>
      </c>
      <c r="I56" s="9" t="s">
        <v>18</v>
      </c>
      <c r="J56" s="9" t="s">
        <v>17</v>
      </c>
      <c r="K56" s="3" t="s">
        <v>51</v>
      </c>
      <c r="L56" s="3">
        <v>28</v>
      </c>
    </row>
    <row r="57" spans="1:12" x14ac:dyDescent="0.3">
      <c r="A57" s="3">
        <v>56</v>
      </c>
      <c r="B57" s="1">
        <v>46214</v>
      </c>
      <c r="C57" s="9" t="s">
        <v>7</v>
      </c>
      <c r="D57" s="10" t="s">
        <v>63</v>
      </c>
      <c r="E57" s="4">
        <v>388.59</v>
      </c>
      <c r="F57" s="3">
        <v>27</v>
      </c>
      <c r="G57" s="4">
        <f t="shared" si="0"/>
        <v>10491.929999999998</v>
      </c>
      <c r="H57" s="4">
        <v>2943.5</v>
      </c>
      <c r="I57" s="9" t="s">
        <v>16</v>
      </c>
      <c r="J57" s="9" t="s">
        <v>17</v>
      </c>
      <c r="K57" s="3" t="s">
        <v>51</v>
      </c>
      <c r="L57" s="3">
        <v>28</v>
      </c>
    </row>
    <row r="58" spans="1:12" x14ac:dyDescent="0.3">
      <c r="A58" s="3">
        <v>57</v>
      </c>
      <c r="B58" s="1">
        <v>46216</v>
      </c>
      <c r="C58" s="9" t="s">
        <v>11</v>
      </c>
      <c r="D58" s="10" t="s">
        <v>27</v>
      </c>
      <c r="E58" s="4">
        <v>118.31</v>
      </c>
      <c r="F58" s="3">
        <v>53</v>
      </c>
      <c r="G58" s="4">
        <f t="shared" si="0"/>
        <v>6270.43</v>
      </c>
      <c r="H58" s="4">
        <v>1695.73</v>
      </c>
      <c r="I58" s="9" t="s">
        <v>84</v>
      </c>
      <c r="J58" s="9" t="s">
        <v>17</v>
      </c>
      <c r="K58" s="3" t="s">
        <v>51</v>
      </c>
      <c r="L58" s="3">
        <v>29</v>
      </c>
    </row>
    <row r="59" spans="1:12" x14ac:dyDescent="0.3">
      <c r="A59" s="3">
        <v>58</v>
      </c>
      <c r="B59" s="1">
        <v>46218</v>
      </c>
      <c r="C59" s="9" t="s">
        <v>14</v>
      </c>
      <c r="D59" s="10" t="s">
        <v>26</v>
      </c>
      <c r="E59" s="4">
        <v>435.09</v>
      </c>
      <c r="F59" s="3">
        <v>80</v>
      </c>
      <c r="G59" s="4">
        <f t="shared" si="0"/>
        <v>34807.199999999997</v>
      </c>
      <c r="H59" s="4">
        <v>8272.34</v>
      </c>
      <c r="I59" s="9" t="s">
        <v>18</v>
      </c>
      <c r="J59" s="9" t="s">
        <v>17</v>
      </c>
      <c r="K59" s="3" t="s">
        <v>51</v>
      </c>
      <c r="L59" s="3">
        <v>29</v>
      </c>
    </row>
    <row r="60" spans="1:12" x14ac:dyDescent="0.3">
      <c r="A60" s="3">
        <v>59</v>
      </c>
      <c r="B60" s="1">
        <v>46220</v>
      </c>
      <c r="C60" s="9" t="s">
        <v>19</v>
      </c>
      <c r="D60" s="10" t="s">
        <v>60</v>
      </c>
      <c r="E60" s="4">
        <v>211.04</v>
      </c>
      <c r="F60" s="3">
        <v>30</v>
      </c>
      <c r="G60" s="4">
        <f t="shared" si="0"/>
        <v>6331.2</v>
      </c>
      <c r="H60" s="4">
        <v>1001.46</v>
      </c>
      <c r="I60" s="9" t="s">
        <v>18</v>
      </c>
      <c r="J60" s="9" t="s">
        <v>17</v>
      </c>
      <c r="K60" s="3" t="s">
        <v>51</v>
      </c>
      <c r="L60" s="3">
        <v>29</v>
      </c>
    </row>
    <row r="61" spans="1:12" x14ac:dyDescent="0.3">
      <c r="A61" s="3">
        <v>60</v>
      </c>
      <c r="B61" s="1">
        <v>46222</v>
      </c>
      <c r="C61" s="9" t="s">
        <v>7</v>
      </c>
      <c r="D61" s="10" t="s">
        <v>12</v>
      </c>
      <c r="E61" s="4">
        <v>444.11</v>
      </c>
      <c r="F61" s="3">
        <v>54</v>
      </c>
      <c r="G61" s="4">
        <f t="shared" si="0"/>
        <v>23981.940000000002</v>
      </c>
      <c r="H61" s="4">
        <v>3183.02</v>
      </c>
      <c r="I61" s="9" t="s">
        <v>78</v>
      </c>
      <c r="J61" s="9" t="s">
        <v>9</v>
      </c>
      <c r="K61" s="3" t="s">
        <v>51</v>
      </c>
      <c r="L61" s="3">
        <v>29</v>
      </c>
    </row>
    <row r="62" spans="1:12" x14ac:dyDescent="0.3">
      <c r="A62" s="3">
        <v>61</v>
      </c>
      <c r="B62" s="1">
        <v>46224</v>
      </c>
      <c r="C62" s="9" t="s">
        <v>14</v>
      </c>
      <c r="D62" s="10" t="s">
        <v>52</v>
      </c>
      <c r="E62" s="4">
        <v>330.91</v>
      </c>
      <c r="F62" s="3">
        <v>24</v>
      </c>
      <c r="G62" s="4">
        <f t="shared" si="0"/>
        <v>7941.84</v>
      </c>
      <c r="H62" s="4">
        <v>1299.6400000000001</v>
      </c>
      <c r="I62" s="9" t="s">
        <v>18</v>
      </c>
      <c r="J62" s="9" t="s">
        <v>17</v>
      </c>
      <c r="K62" s="3" t="s">
        <v>51</v>
      </c>
      <c r="L62" s="3">
        <v>30</v>
      </c>
    </row>
    <row r="63" spans="1:12" x14ac:dyDescent="0.3">
      <c r="A63" s="3">
        <v>62</v>
      </c>
      <c r="B63" s="1">
        <v>46226</v>
      </c>
      <c r="C63" s="9" t="s">
        <v>19</v>
      </c>
      <c r="D63" s="10" t="s">
        <v>26</v>
      </c>
      <c r="E63" s="4">
        <v>461.53</v>
      </c>
      <c r="F63" s="3">
        <v>46</v>
      </c>
      <c r="G63" s="4">
        <f t="shared" si="0"/>
        <v>21230.379999999997</v>
      </c>
      <c r="H63" s="4">
        <v>2577.8000000000002</v>
      </c>
      <c r="I63" s="9" t="s">
        <v>82</v>
      </c>
      <c r="J63" s="9" t="s">
        <v>81</v>
      </c>
      <c r="K63" s="3" t="s">
        <v>51</v>
      </c>
      <c r="L63" s="3">
        <v>30</v>
      </c>
    </row>
    <row r="64" spans="1:12" x14ac:dyDescent="0.3">
      <c r="A64" s="3">
        <v>63</v>
      </c>
      <c r="B64" s="1">
        <v>46228</v>
      </c>
      <c r="C64" s="9" t="s">
        <v>7</v>
      </c>
      <c r="D64" s="10" t="s">
        <v>15</v>
      </c>
      <c r="E64" s="4">
        <v>202.13</v>
      </c>
      <c r="F64" s="3">
        <v>53</v>
      </c>
      <c r="G64" s="4">
        <f t="shared" si="0"/>
        <v>10712.89</v>
      </c>
      <c r="H64" s="4">
        <v>2000.92</v>
      </c>
      <c r="I64" s="9" t="s">
        <v>83</v>
      </c>
      <c r="J64" s="9" t="s">
        <v>81</v>
      </c>
      <c r="K64" s="3" t="s">
        <v>51</v>
      </c>
      <c r="L64" s="3">
        <v>30</v>
      </c>
    </row>
    <row r="65" spans="1:12" x14ac:dyDescent="0.3">
      <c r="A65" s="3">
        <v>64</v>
      </c>
      <c r="B65" s="1">
        <v>46230</v>
      </c>
      <c r="C65" s="9" t="s">
        <v>11</v>
      </c>
      <c r="D65" s="10" t="s">
        <v>62</v>
      </c>
      <c r="E65" s="4">
        <v>149.88999999999999</v>
      </c>
      <c r="F65" s="3">
        <v>71</v>
      </c>
      <c r="G65" s="4">
        <f t="shared" si="0"/>
        <v>10642.189999999999</v>
      </c>
      <c r="H65" s="4">
        <v>2316.2399999999998</v>
      </c>
      <c r="I65" s="9" t="s">
        <v>18</v>
      </c>
      <c r="J65" s="9" t="s">
        <v>17</v>
      </c>
      <c r="K65" s="3" t="s">
        <v>51</v>
      </c>
      <c r="L65" s="3">
        <v>31</v>
      </c>
    </row>
    <row r="66" spans="1:12" x14ac:dyDescent="0.3">
      <c r="A66" s="3">
        <v>65</v>
      </c>
      <c r="B66" s="1">
        <v>46232</v>
      </c>
      <c r="C66" s="9" t="s">
        <v>14</v>
      </c>
      <c r="D66" s="10" t="s">
        <v>12</v>
      </c>
      <c r="E66" s="4">
        <v>329.52</v>
      </c>
      <c r="F66" s="3">
        <v>37</v>
      </c>
      <c r="G66" s="4">
        <f t="shared" si="0"/>
        <v>12192.24</v>
      </c>
      <c r="H66" s="4">
        <v>3391.73</v>
      </c>
      <c r="I66" s="9" t="s">
        <v>18</v>
      </c>
      <c r="J66" s="9" t="s">
        <v>17</v>
      </c>
      <c r="K66" s="3" t="s">
        <v>51</v>
      </c>
      <c r="L66" s="3">
        <v>31</v>
      </c>
    </row>
    <row r="67" spans="1:12" x14ac:dyDescent="0.3">
      <c r="A67" s="3">
        <v>66</v>
      </c>
      <c r="B67" s="1">
        <v>46234</v>
      </c>
      <c r="C67" s="9" t="s">
        <v>40</v>
      </c>
      <c r="D67" s="10" t="s">
        <v>68</v>
      </c>
      <c r="E67" s="4">
        <v>151.63999999999999</v>
      </c>
      <c r="F67" s="3">
        <v>34</v>
      </c>
      <c r="G67" s="4">
        <f t="shared" ref="G67:G101" si="1">E67*F67</f>
        <v>5155.7599999999993</v>
      </c>
      <c r="H67" s="4">
        <v>519.52</v>
      </c>
      <c r="I67" s="9" t="s">
        <v>75</v>
      </c>
      <c r="J67" s="9" t="s">
        <v>9</v>
      </c>
      <c r="K67" s="3" t="s">
        <v>51</v>
      </c>
      <c r="L67" s="3">
        <v>31</v>
      </c>
    </row>
    <row r="68" spans="1:12" x14ac:dyDescent="0.3">
      <c r="A68" s="3">
        <v>67</v>
      </c>
      <c r="B68" s="1">
        <v>46235</v>
      </c>
      <c r="C68" s="9" t="s">
        <v>42</v>
      </c>
      <c r="D68" s="10" t="s">
        <v>69</v>
      </c>
      <c r="E68" s="4">
        <v>490</v>
      </c>
      <c r="F68" s="3">
        <v>95</v>
      </c>
      <c r="G68" s="4">
        <f t="shared" si="1"/>
        <v>46550</v>
      </c>
      <c r="H68" s="4">
        <v>6676.33</v>
      </c>
      <c r="I68" s="9" t="s">
        <v>75</v>
      </c>
      <c r="J68" s="9" t="s">
        <v>9</v>
      </c>
      <c r="K68" s="3" t="s">
        <v>53</v>
      </c>
      <c r="L68" s="3">
        <v>31</v>
      </c>
    </row>
    <row r="69" spans="1:12" x14ac:dyDescent="0.3">
      <c r="A69" s="3">
        <v>68</v>
      </c>
      <c r="B69" s="1">
        <v>46237</v>
      </c>
      <c r="C69" s="9" t="s">
        <v>43</v>
      </c>
      <c r="D69" s="10" t="s">
        <v>68</v>
      </c>
      <c r="E69" s="4">
        <v>257.55</v>
      </c>
      <c r="F69" s="3">
        <v>38</v>
      </c>
      <c r="G69" s="4">
        <f t="shared" si="1"/>
        <v>9786.9</v>
      </c>
      <c r="H69" s="4">
        <v>1541.49</v>
      </c>
      <c r="I69" s="9" t="s">
        <v>16</v>
      </c>
      <c r="J69" s="9" t="s">
        <v>17</v>
      </c>
      <c r="K69" s="3" t="s">
        <v>53</v>
      </c>
      <c r="L69" s="3">
        <v>32</v>
      </c>
    </row>
    <row r="70" spans="1:12" x14ac:dyDescent="0.3">
      <c r="A70" s="3">
        <v>69</v>
      </c>
      <c r="B70" s="1">
        <v>46239</v>
      </c>
      <c r="C70" s="9" t="s">
        <v>44</v>
      </c>
      <c r="D70" s="10" t="s">
        <v>65</v>
      </c>
      <c r="E70" s="4">
        <v>442.86</v>
      </c>
      <c r="F70" s="3">
        <v>65</v>
      </c>
      <c r="G70" s="4">
        <f t="shared" si="1"/>
        <v>28785.9</v>
      </c>
      <c r="H70" s="4">
        <v>5660.28</v>
      </c>
      <c r="I70" s="9" t="s">
        <v>18</v>
      </c>
      <c r="J70" s="9" t="s">
        <v>17</v>
      </c>
      <c r="K70" s="3" t="s">
        <v>53</v>
      </c>
      <c r="L70" s="3">
        <v>32</v>
      </c>
    </row>
    <row r="71" spans="1:12" x14ac:dyDescent="0.3">
      <c r="A71" s="3">
        <v>70</v>
      </c>
      <c r="B71" s="1">
        <v>46241</v>
      </c>
      <c r="C71" s="9" t="s">
        <v>45</v>
      </c>
      <c r="D71" s="10" t="s">
        <v>64</v>
      </c>
      <c r="E71" s="4">
        <v>459.77</v>
      </c>
      <c r="F71" s="3">
        <v>64</v>
      </c>
      <c r="G71" s="4">
        <f t="shared" si="1"/>
        <v>29425.279999999999</v>
      </c>
      <c r="H71" s="4">
        <v>8347.85</v>
      </c>
      <c r="I71" s="9" t="s">
        <v>16</v>
      </c>
      <c r="J71" s="9" t="s">
        <v>17</v>
      </c>
      <c r="K71" s="3" t="s">
        <v>53</v>
      </c>
      <c r="L71" s="3">
        <v>32</v>
      </c>
    </row>
    <row r="72" spans="1:12" x14ac:dyDescent="0.3">
      <c r="A72" s="3">
        <v>71</v>
      </c>
      <c r="B72" s="1">
        <v>46266</v>
      </c>
      <c r="C72" s="9" t="s">
        <v>46</v>
      </c>
      <c r="D72" s="10" t="s">
        <v>63</v>
      </c>
      <c r="E72" s="4">
        <v>219.86</v>
      </c>
      <c r="F72" s="3">
        <v>69</v>
      </c>
      <c r="G72" s="4">
        <f t="shared" si="1"/>
        <v>15170.34</v>
      </c>
      <c r="H72" s="4">
        <v>3820.08</v>
      </c>
      <c r="I72" s="9" t="s">
        <v>18</v>
      </c>
      <c r="J72" s="9" t="s">
        <v>17</v>
      </c>
      <c r="K72" s="3" t="s">
        <v>70</v>
      </c>
      <c r="L72" s="3">
        <v>36</v>
      </c>
    </row>
    <row r="73" spans="1:12" x14ac:dyDescent="0.3">
      <c r="A73" s="3">
        <v>72</v>
      </c>
      <c r="B73" s="1">
        <v>46270</v>
      </c>
      <c r="C73" s="9" t="s">
        <v>47</v>
      </c>
      <c r="D73" s="10" t="s">
        <v>26</v>
      </c>
      <c r="E73" s="4">
        <v>308.70999999999998</v>
      </c>
      <c r="F73" s="3">
        <v>10</v>
      </c>
      <c r="G73" s="4">
        <f t="shared" si="1"/>
        <v>3087.1</v>
      </c>
      <c r="H73" s="4">
        <v>655.75</v>
      </c>
      <c r="I73" s="9" t="s">
        <v>16</v>
      </c>
      <c r="J73" s="9" t="s">
        <v>17</v>
      </c>
      <c r="K73" s="3" t="s">
        <v>70</v>
      </c>
      <c r="L73" s="3">
        <v>36</v>
      </c>
    </row>
    <row r="74" spans="1:12" x14ac:dyDescent="0.3">
      <c r="A74" s="3">
        <v>73</v>
      </c>
      <c r="B74" s="1">
        <v>46282</v>
      </c>
      <c r="C74" s="9" t="s">
        <v>37</v>
      </c>
      <c r="D74" s="10" t="s">
        <v>34</v>
      </c>
      <c r="E74" s="4">
        <v>257.07</v>
      </c>
      <c r="F74" s="3">
        <v>32</v>
      </c>
      <c r="G74" s="4">
        <f t="shared" si="1"/>
        <v>8226.24</v>
      </c>
      <c r="H74" s="4">
        <v>2180.14</v>
      </c>
      <c r="I74" s="9" t="s">
        <v>16</v>
      </c>
      <c r="J74" s="9" t="s">
        <v>17</v>
      </c>
      <c r="K74" s="3" t="s">
        <v>70</v>
      </c>
      <c r="L74" s="3">
        <v>38</v>
      </c>
    </row>
    <row r="75" spans="1:12" x14ac:dyDescent="0.3">
      <c r="A75" s="3">
        <v>74</v>
      </c>
      <c r="B75" s="1">
        <v>46284</v>
      </c>
      <c r="C75" s="9" t="s">
        <v>48</v>
      </c>
      <c r="D75" s="10" t="s">
        <v>52</v>
      </c>
      <c r="E75" s="4">
        <v>215.32</v>
      </c>
      <c r="F75" s="3">
        <v>87</v>
      </c>
      <c r="G75" s="4">
        <f t="shared" si="1"/>
        <v>18732.84</v>
      </c>
      <c r="H75" s="4">
        <v>4877.93</v>
      </c>
      <c r="I75" s="9" t="s">
        <v>84</v>
      </c>
      <c r="J75" s="9" t="s">
        <v>17</v>
      </c>
      <c r="K75" s="3" t="s">
        <v>70</v>
      </c>
      <c r="L75" s="3">
        <v>38</v>
      </c>
    </row>
    <row r="76" spans="1:12" x14ac:dyDescent="0.3">
      <c r="A76" s="3">
        <v>75</v>
      </c>
      <c r="B76" s="1">
        <v>46285</v>
      </c>
      <c r="C76" s="9" t="s">
        <v>38</v>
      </c>
      <c r="D76" s="10" t="s">
        <v>27</v>
      </c>
      <c r="E76" s="4">
        <v>398.01</v>
      </c>
      <c r="F76" s="3">
        <v>48</v>
      </c>
      <c r="G76" s="4">
        <f t="shared" si="1"/>
        <v>19104.48</v>
      </c>
      <c r="H76" s="4">
        <v>5575.04</v>
      </c>
      <c r="I76" s="9" t="s">
        <v>18</v>
      </c>
      <c r="J76" s="9" t="s">
        <v>17</v>
      </c>
      <c r="K76" s="3" t="s">
        <v>70</v>
      </c>
      <c r="L76" s="3">
        <v>38</v>
      </c>
    </row>
    <row r="77" spans="1:12" x14ac:dyDescent="0.3">
      <c r="A77" s="3">
        <v>76</v>
      </c>
      <c r="B77" s="1">
        <v>46285</v>
      </c>
      <c r="C77" s="9" t="s">
        <v>49</v>
      </c>
      <c r="D77" s="10" t="s">
        <v>63</v>
      </c>
      <c r="E77" s="4">
        <v>81.41</v>
      </c>
      <c r="F77" s="3">
        <v>48</v>
      </c>
      <c r="G77" s="4">
        <f t="shared" si="1"/>
        <v>3907.68</v>
      </c>
      <c r="H77" s="4">
        <v>405.65</v>
      </c>
      <c r="I77" s="9" t="s">
        <v>78</v>
      </c>
      <c r="J77" s="9" t="s">
        <v>9</v>
      </c>
      <c r="K77" s="3" t="s">
        <v>70</v>
      </c>
      <c r="L77" s="3">
        <v>38</v>
      </c>
    </row>
    <row r="78" spans="1:12" x14ac:dyDescent="0.3">
      <c r="A78" s="3">
        <v>77</v>
      </c>
      <c r="B78" s="1">
        <v>46290</v>
      </c>
      <c r="C78" s="9" t="s">
        <v>50</v>
      </c>
      <c r="D78" s="10" t="s">
        <v>15</v>
      </c>
      <c r="E78" s="4">
        <v>474.08</v>
      </c>
      <c r="F78" s="3">
        <v>43</v>
      </c>
      <c r="G78" s="4">
        <f t="shared" si="1"/>
        <v>20385.439999999999</v>
      </c>
      <c r="H78" s="4">
        <v>4951.41</v>
      </c>
      <c r="I78" s="9" t="s">
        <v>78</v>
      </c>
      <c r="J78" s="9" t="s">
        <v>9</v>
      </c>
      <c r="K78" s="3" t="s">
        <v>70</v>
      </c>
      <c r="L78" s="3">
        <v>39</v>
      </c>
    </row>
    <row r="79" spans="1:12" x14ac:dyDescent="0.3">
      <c r="A79" s="3">
        <v>78</v>
      </c>
      <c r="B79" s="1">
        <v>46290</v>
      </c>
      <c r="C79" s="9" t="s">
        <v>43</v>
      </c>
      <c r="D79" s="10" t="s">
        <v>67</v>
      </c>
      <c r="E79" s="4">
        <v>141.16</v>
      </c>
      <c r="F79" s="3">
        <v>8</v>
      </c>
      <c r="G79" s="4">
        <f t="shared" si="1"/>
        <v>1129.28</v>
      </c>
      <c r="H79" s="4">
        <v>315.36</v>
      </c>
      <c r="I79" s="9" t="s">
        <v>18</v>
      </c>
      <c r="J79" s="9" t="s">
        <v>17</v>
      </c>
      <c r="K79" s="3" t="s">
        <v>70</v>
      </c>
      <c r="L79" s="3">
        <v>39</v>
      </c>
    </row>
    <row r="80" spans="1:12" x14ac:dyDescent="0.3">
      <c r="A80" s="3">
        <v>79</v>
      </c>
      <c r="B80" s="1">
        <v>46291</v>
      </c>
      <c r="C80" s="9" t="s">
        <v>39</v>
      </c>
      <c r="D80" s="10" t="s">
        <v>61</v>
      </c>
      <c r="E80" s="4">
        <v>484.42</v>
      </c>
      <c r="F80" s="3">
        <v>36</v>
      </c>
      <c r="G80" s="4">
        <f t="shared" si="1"/>
        <v>17439.12</v>
      </c>
      <c r="H80" s="4">
        <v>4893.78</v>
      </c>
      <c r="I80" s="9" t="s">
        <v>18</v>
      </c>
      <c r="J80" s="9" t="s">
        <v>17</v>
      </c>
      <c r="K80" s="3" t="s">
        <v>70</v>
      </c>
      <c r="L80" s="3">
        <v>39</v>
      </c>
    </row>
    <row r="81" spans="1:12" x14ac:dyDescent="0.3">
      <c r="A81" s="3">
        <v>80</v>
      </c>
      <c r="B81" s="1">
        <v>46292</v>
      </c>
      <c r="C81" s="9" t="s">
        <v>42</v>
      </c>
      <c r="D81" s="10" t="s">
        <v>67</v>
      </c>
      <c r="E81" s="4">
        <v>484.53</v>
      </c>
      <c r="F81" s="3">
        <v>94</v>
      </c>
      <c r="G81" s="4">
        <f t="shared" si="1"/>
        <v>45545.82</v>
      </c>
      <c r="H81" s="4">
        <v>11476.85</v>
      </c>
      <c r="I81" s="9" t="s">
        <v>82</v>
      </c>
      <c r="J81" s="9" t="s">
        <v>81</v>
      </c>
      <c r="K81" s="3" t="s">
        <v>70</v>
      </c>
      <c r="L81" s="3">
        <v>39</v>
      </c>
    </row>
    <row r="82" spans="1:12" x14ac:dyDescent="0.3">
      <c r="A82" s="3">
        <v>81</v>
      </c>
      <c r="B82" s="1">
        <v>46294</v>
      </c>
      <c r="C82" s="9" t="s">
        <v>44</v>
      </c>
      <c r="D82" s="10" t="s">
        <v>67</v>
      </c>
      <c r="E82" s="4">
        <v>389.92</v>
      </c>
      <c r="F82" s="3">
        <v>41</v>
      </c>
      <c r="G82" s="4">
        <f t="shared" si="1"/>
        <v>15986.720000000001</v>
      </c>
      <c r="H82" s="4">
        <v>3120.26</v>
      </c>
      <c r="I82" s="9" t="s">
        <v>83</v>
      </c>
      <c r="J82" s="9" t="s">
        <v>81</v>
      </c>
      <c r="K82" s="3" t="s">
        <v>70</v>
      </c>
      <c r="L82" s="3">
        <v>40</v>
      </c>
    </row>
    <row r="83" spans="1:12" x14ac:dyDescent="0.3">
      <c r="A83" s="3">
        <v>82</v>
      </c>
      <c r="B83" s="1">
        <v>46305</v>
      </c>
      <c r="C83" s="9" t="s">
        <v>36</v>
      </c>
      <c r="D83" s="10" t="s">
        <v>28</v>
      </c>
      <c r="E83" s="4">
        <v>329.58</v>
      </c>
      <c r="F83" s="3">
        <v>94</v>
      </c>
      <c r="G83" s="4">
        <f t="shared" si="1"/>
        <v>30980.519999999997</v>
      </c>
      <c r="H83" s="4">
        <v>8740.64</v>
      </c>
      <c r="I83" s="9" t="s">
        <v>18</v>
      </c>
      <c r="J83" s="9" t="s">
        <v>17</v>
      </c>
      <c r="K83" s="3" t="s">
        <v>71</v>
      </c>
      <c r="L83" s="3">
        <v>41</v>
      </c>
    </row>
    <row r="84" spans="1:12" x14ac:dyDescent="0.3">
      <c r="A84" s="3">
        <v>83</v>
      </c>
      <c r="B84" s="1">
        <v>46309</v>
      </c>
      <c r="C84" s="9" t="s">
        <v>11</v>
      </c>
      <c r="D84" s="10" t="s">
        <v>28</v>
      </c>
      <c r="E84" s="4">
        <v>467.19</v>
      </c>
      <c r="F84" s="3">
        <v>73</v>
      </c>
      <c r="G84" s="4">
        <f t="shared" si="1"/>
        <v>34104.870000000003</v>
      </c>
      <c r="H84" s="4">
        <v>5347</v>
      </c>
      <c r="I84" s="9" t="s">
        <v>76</v>
      </c>
      <c r="J84" s="9" t="s">
        <v>9</v>
      </c>
      <c r="K84" s="3" t="s">
        <v>71</v>
      </c>
      <c r="L84" s="3">
        <v>42</v>
      </c>
    </row>
    <row r="85" spans="1:12" x14ac:dyDescent="0.3">
      <c r="A85" s="3">
        <v>84</v>
      </c>
      <c r="B85" s="1">
        <v>46315</v>
      </c>
      <c r="C85" s="9" t="s">
        <v>14</v>
      </c>
      <c r="D85" s="10" t="s">
        <v>60</v>
      </c>
      <c r="E85" s="4">
        <v>365.96</v>
      </c>
      <c r="F85" s="3">
        <v>100</v>
      </c>
      <c r="G85" s="4">
        <f t="shared" si="1"/>
        <v>36596</v>
      </c>
      <c r="H85" s="4">
        <v>6814.21</v>
      </c>
      <c r="I85" s="9" t="s">
        <v>18</v>
      </c>
      <c r="J85" s="9" t="s">
        <v>17</v>
      </c>
      <c r="K85" s="3" t="s">
        <v>71</v>
      </c>
      <c r="L85" s="3">
        <v>43</v>
      </c>
    </row>
    <row r="86" spans="1:12" x14ac:dyDescent="0.3">
      <c r="A86" s="3">
        <v>85</v>
      </c>
      <c r="B86" s="1">
        <v>46327</v>
      </c>
      <c r="C86" s="9" t="s">
        <v>19</v>
      </c>
      <c r="D86" s="10" t="s">
        <v>30</v>
      </c>
      <c r="E86" s="4">
        <v>42.68</v>
      </c>
      <c r="F86" s="3">
        <v>99</v>
      </c>
      <c r="G86" s="4">
        <f t="shared" si="1"/>
        <v>4225.32</v>
      </c>
      <c r="H86" s="4">
        <v>1254.96</v>
      </c>
      <c r="I86" s="9" t="s">
        <v>18</v>
      </c>
      <c r="J86" s="9" t="s">
        <v>17</v>
      </c>
      <c r="K86" s="3" t="s">
        <v>72</v>
      </c>
      <c r="L86" s="3">
        <v>44</v>
      </c>
    </row>
    <row r="87" spans="1:12" x14ac:dyDescent="0.3">
      <c r="A87" s="3">
        <v>86</v>
      </c>
      <c r="B87" s="1">
        <v>46328</v>
      </c>
      <c r="C87" s="9" t="s">
        <v>7</v>
      </c>
      <c r="D87" s="10" t="s">
        <v>30</v>
      </c>
      <c r="E87" s="4">
        <v>31.73</v>
      </c>
      <c r="F87" s="3">
        <v>79</v>
      </c>
      <c r="G87" s="4">
        <f t="shared" si="1"/>
        <v>2506.67</v>
      </c>
      <c r="H87" s="4">
        <v>390.27</v>
      </c>
      <c r="I87" s="9" t="s">
        <v>55</v>
      </c>
      <c r="J87" s="9" t="s">
        <v>17</v>
      </c>
      <c r="K87" s="3" t="s">
        <v>72</v>
      </c>
      <c r="L87" s="3">
        <v>45</v>
      </c>
    </row>
    <row r="88" spans="1:12" x14ac:dyDescent="0.3">
      <c r="A88" s="3">
        <v>87</v>
      </c>
      <c r="B88" s="1">
        <v>46328</v>
      </c>
      <c r="C88" s="9" t="s">
        <v>14</v>
      </c>
      <c r="D88" s="10" t="s">
        <v>28</v>
      </c>
      <c r="E88" s="4">
        <v>354.86</v>
      </c>
      <c r="F88" s="3">
        <v>8</v>
      </c>
      <c r="G88" s="4">
        <f t="shared" si="1"/>
        <v>2838.88</v>
      </c>
      <c r="H88" s="4">
        <v>785.96</v>
      </c>
      <c r="I88" s="9" t="s">
        <v>76</v>
      </c>
      <c r="J88" s="9" t="s">
        <v>9</v>
      </c>
      <c r="K88" s="3" t="s">
        <v>72</v>
      </c>
      <c r="L88" s="3">
        <v>45</v>
      </c>
    </row>
    <row r="89" spans="1:12" x14ac:dyDescent="0.3">
      <c r="A89" s="3">
        <v>88</v>
      </c>
      <c r="B89" s="1">
        <v>46329</v>
      </c>
      <c r="C89" s="9" t="s">
        <v>19</v>
      </c>
      <c r="D89" s="10" t="s">
        <v>67</v>
      </c>
      <c r="E89" s="4">
        <v>262.32</v>
      </c>
      <c r="F89" s="3">
        <v>2</v>
      </c>
      <c r="G89" s="4">
        <f>E89*F89</f>
        <v>524.64</v>
      </c>
      <c r="H89" s="4">
        <v>118.76</v>
      </c>
      <c r="I89" s="9" t="s">
        <v>18</v>
      </c>
      <c r="J89" s="9" t="s">
        <v>17</v>
      </c>
      <c r="K89" s="3" t="s">
        <v>72</v>
      </c>
      <c r="L89" s="3">
        <v>45</v>
      </c>
    </row>
    <row r="90" spans="1:12" x14ac:dyDescent="0.3">
      <c r="A90" s="3">
        <v>89</v>
      </c>
      <c r="B90" s="1">
        <v>46334</v>
      </c>
      <c r="C90" s="9" t="s">
        <v>7</v>
      </c>
      <c r="D90" s="10" t="s">
        <v>12</v>
      </c>
      <c r="E90" s="4">
        <v>160.91</v>
      </c>
      <c r="F90" s="3">
        <v>100</v>
      </c>
      <c r="G90" s="4">
        <f t="shared" si="1"/>
        <v>16091</v>
      </c>
      <c r="H90" s="4">
        <v>1312.82</v>
      </c>
      <c r="I90" s="9" t="s">
        <v>18</v>
      </c>
      <c r="J90" s="9" t="s">
        <v>17</v>
      </c>
      <c r="K90" s="3" t="s">
        <v>72</v>
      </c>
      <c r="L90" s="3">
        <v>45</v>
      </c>
    </row>
    <row r="91" spans="1:12" x14ac:dyDescent="0.3">
      <c r="A91" s="3">
        <v>90</v>
      </c>
      <c r="B91" s="1">
        <v>46341</v>
      </c>
      <c r="C91" s="9" t="s">
        <v>11</v>
      </c>
      <c r="D91" s="10" t="s">
        <v>67</v>
      </c>
      <c r="E91" s="4">
        <v>252.81</v>
      </c>
      <c r="F91" s="3">
        <v>99</v>
      </c>
      <c r="G91" s="4">
        <f t="shared" si="1"/>
        <v>25028.19</v>
      </c>
      <c r="H91" s="4">
        <v>6539.14</v>
      </c>
      <c r="I91" s="9" t="s">
        <v>74</v>
      </c>
      <c r="J91" s="9" t="s">
        <v>9</v>
      </c>
      <c r="K91" s="3" t="s">
        <v>72</v>
      </c>
      <c r="L91" s="3">
        <v>46</v>
      </c>
    </row>
    <row r="92" spans="1:12" x14ac:dyDescent="0.3">
      <c r="A92" s="3">
        <v>91</v>
      </c>
      <c r="B92" s="1">
        <v>46346</v>
      </c>
      <c r="C92" s="9" t="s">
        <v>14</v>
      </c>
      <c r="D92" s="10" t="s">
        <v>62</v>
      </c>
      <c r="E92" s="4">
        <v>494.91</v>
      </c>
      <c r="F92" s="3">
        <v>120</v>
      </c>
      <c r="G92" s="4">
        <f t="shared" si="1"/>
        <v>59389.200000000004</v>
      </c>
      <c r="H92" s="4">
        <v>6524.36</v>
      </c>
      <c r="I92" s="9" t="s">
        <v>74</v>
      </c>
      <c r="J92" s="9" t="s">
        <v>9</v>
      </c>
      <c r="K92" s="3" t="s">
        <v>72</v>
      </c>
      <c r="L92" s="3">
        <v>47</v>
      </c>
    </row>
    <row r="93" spans="1:12" x14ac:dyDescent="0.3">
      <c r="A93" s="3">
        <v>92</v>
      </c>
      <c r="B93" s="1">
        <v>46347</v>
      </c>
      <c r="C93" s="9" t="s">
        <v>19</v>
      </c>
      <c r="D93" s="10" t="s">
        <v>15</v>
      </c>
      <c r="E93" s="4">
        <v>228.21</v>
      </c>
      <c r="F93" s="3">
        <v>97</v>
      </c>
      <c r="G93" s="4">
        <f t="shared" si="1"/>
        <v>22136.37</v>
      </c>
      <c r="H93" s="4">
        <v>5350.5</v>
      </c>
      <c r="I93" s="9" t="s">
        <v>84</v>
      </c>
      <c r="J93" s="9" t="s">
        <v>17</v>
      </c>
      <c r="K93" s="3" t="s">
        <v>72</v>
      </c>
      <c r="L93" s="3">
        <v>47</v>
      </c>
    </row>
    <row r="94" spans="1:12" x14ac:dyDescent="0.3">
      <c r="A94" s="3">
        <v>93</v>
      </c>
      <c r="B94" s="1">
        <v>46351</v>
      </c>
      <c r="C94" s="9" t="s">
        <v>7</v>
      </c>
      <c r="D94" s="10" t="s">
        <v>63</v>
      </c>
      <c r="E94" s="4">
        <v>243.82</v>
      </c>
      <c r="F94" s="3">
        <v>96</v>
      </c>
      <c r="G94" s="4">
        <f t="shared" si="1"/>
        <v>23406.720000000001</v>
      </c>
      <c r="H94" s="4">
        <v>6223.1</v>
      </c>
      <c r="I94" s="9" t="s">
        <v>55</v>
      </c>
      <c r="J94" s="9" t="s">
        <v>17</v>
      </c>
      <c r="K94" s="3" t="s">
        <v>72</v>
      </c>
      <c r="L94" s="3">
        <v>48</v>
      </c>
    </row>
    <row r="95" spans="1:12" x14ac:dyDescent="0.3">
      <c r="A95" s="3">
        <v>94</v>
      </c>
      <c r="B95" s="1">
        <v>46354</v>
      </c>
      <c r="C95" s="9" t="s">
        <v>11</v>
      </c>
      <c r="D95" s="10" t="s">
        <v>68</v>
      </c>
      <c r="E95" s="4">
        <v>417.56</v>
      </c>
      <c r="F95" s="3">
        <v>99</v>
      </c>
      <c r="G95" s="4">
        <f t="shared" si="1"/>
        <v>41338.44</v>
      </c>
      <c r="H95" s="4">
        <v>4203.12</v>
      </c>
      <c r="I95" s="9" t="s">
        <v>18</v>
      </c>
      <c r="J95" s="9" t="s">
        <v>17</v>
      </c>
      <c r="K95" s="3" t="s">
        <v>72</v>
      </c>
      <c r="L95" s="3">
        <v>48</v>
      </c>
    </row>
    <row r="96" spans="1:12" x14ac:dyDescent="0.3">
      <c r="A96" s="3">
        <v>95</v>
      </c>
      <c r="B96" s="1">
        <v>46355</v>
      </c>
      <c r="C96" s="9" t="s">
        <v>14</v>
      </c>
      <c r="D96" s="10" t="s">
        <v>62</v>
      </c>
      <c r="E96" s="4">
        <v>343.46</v>
      </c>
      <c r="F96" s="3">
        <v>97</v>
      </c>
      <c r="G96" s="4">
        <f t="shared" si="1"/>
        <v>33315.619999999995</v>
      </c>
      <c r="H96" s="4">
        <v>6520.91</v>
      </c>
      <c r="I96" s="9" t="s">
        <v>18</v>
      </c>
      <c r="J96" s="9" t="s">
        <v>17</v>
      </c>
      <c r="K96" s="3" t="s">
        <v>72</v>
      </c>
      <c r="L96" s="3">
        <v>48</v>
      </c>
    </row>
    <row r="97" spans="1:12" x14ac:dyDescent="0.3">
      <c r="A97" s="3">
        <v>96</v>
      </c>
      <c r="B97" s="1">
        <v>46363</v>
      </c>
      <c r="C97" s="9" t="s">
        <v>19</v>
      </c>
      <c r="D97" s="10" t="s">
        <v>27</v>
      </c>
      <c r="E97" s="4">
        <v>7.33</v>
      </c>
      <c r="F97" s="3">
        <v>30</v>
      </c>
      <c r="G97" s="4">
        <f t="shared" si="1"/>
        <v>219.9</v>
      </c>
      <c r="H97" s="4">
        <v>53.53</v>
      </c>
      <c r="I97" s="9" t="s">
        <v>79</v>
      </c>
      <c r="J97" s="9" t="s">
        <v>9</v>
      </c>
      <c r="K97" s="3" t="s">
        <v>73</v>
      </c>
      <c r="L97" s="3">
        <v>50</v>
      </c>
    </row>
    <row r="98" spans="1:12" x14ac:dyDescent="0.3">
      <c r="A98" s="3">
        <v>97</v>
      </c>
      <c r="B98" s="1">
        <v>46365</v>
      </c>
      <c r="C98" s="9" t="s">
        <v>7</v>
      </c>
      <c r="D98" s="10" t="s">
        <v>20</v>
      </c>
      <c r="E98" s="4">
        <v>272.64999999999998</v>
      </c>
      <c r="F98" s="3">
        <v>25</v>
      </c>
      <c r="G98" s="4">
        <f t="shared" si="1"/>
        <v>6816.2499999999991</v>
      </c>
      <c r="H98" s="4">
        <v>1966.28</v>
      </c>
      <c r="I98" s="9" t="s">
        <v>18</v>
      </c>
      <c r="J98" s="9" t="s">
        <v>17</v>
      </c>
      <c r="K98" s="3" t="s">
        <v>73</v>
      </c>
      <c r="L98" s="3">
        <v>50</v>
      </c>
    </row>
    <row r="99" spans="1:12" x14ac:dyDescent="0.3">
      <c r="A99" s="3">
        <v>98</v>
      </c>
      <c r="B99" s="1">
        <v>46369</v>
      </c>
      <c r="C99" s="9" t="s">
        <v>11</v>
      </c>
      <c r="D99" s="10" t="s">
        <v>28</v>
      </c>
      <c r="E99" s="4">
        <v>98.78</v>
      </c>
      <c r="F99" s="3">
        <v>7</v>
      </c>
      <c r="G99" s="4">
        <f t="shared" si="1"/>
        <v>691.46</v>
      </c>
      <c r="H99" s="4">
        <v>165.55</v>
      </c>
      <c r="I99" s="9" t="s">
        <v>79</v>
      </c>
      <c r="J99" s="9" t="s">
        <v>9</v>
      </c>
      <c r="K99" s="3" t="s">
        <v>73</v>
      </c>
      <c r="L99" s="3">
        <v>50</v>
      </c>
    </row>
    <row r="100" spans="1:12" x14ac:dyDescent="0.3">
      <c r="A100" s="3">
        <v>99</v>
      </c>
      <c r="B100" s="1">
        <v>46371</v>
      </c>
      <c r="C100" s="9" t="s">
        <v>14</v>
      </c>
      <c r="D100" s="10" t="s">
        <v>68</v>
      </c>
      <c r="E100" s="4">
        <v>36.14</v>
      </c>
      <c r="F100" s="3">
        <v>52</v>
      </c>
      <c r="G100" s="4">
        <f t="shared" si="1"/>
        <v>1879.28</v>
      </c>
      <c r="H100" s="4">
        <v>441.35</v>
      </c>
      <c r="I100" s="9" t="s">
        <v>55</v>
      </c>
      <c r="J100" s="9" t="s">
        <v>17</v>
      </c>
      <c r="K100" s="3" t="s">
        <v>73</v>
      </c>
      <c r="L100" s="3">
        <v>51</v>
      </c>
    </row>
    <row r="101" spans="1:12" x14ac:dyDescent="0.3">
      <c r="A101" s="3">
        <v>100</v>
      </c>
      <c r="B101" s="1">
        <v>46372</v>
      </c>
      <c r="C101" s="9" t="s">
        <v>19</v>
      </c>
      <c r="D101" s="10" t="s">
        <v>34</v>
      </c>
      <c r="E101" s="4">
        <v>323.49</v>
      </c>
      <c r="F101" s="3">
        <v>86</v>
      </c>
      <c r="G101" s="4">
        <f t="shared" si="1"/>
        <v>27820.14</v>
      </c>
      <c r="H101" s="4">
        <v>4153.8500000000004</v>
      </c>
      <c r="I101" s="9" t="s">
        <v>55</v>
      </c>
      <c r="J101" s="9" t="s">
        <v>17</v>
      </c>
      <c r="K101" s="3" t="s">
        <v>73</v>
      </c>
      <c r="L101" s="3">
        <v>51</v>
      </c>
    </row>
  </sheetData>
  <autoFilter ref="A1:L101" xr:uid="{00000000-0001-0000-0000-000000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4273A0-E07F-4BDB-891F-9EC10D55BA3A}">
  <dimension ref="AF24"/>
  <sheetViews>
    <sheetView showGridLines="0" tabSelected="1" topLeftCell="A2" zoomScale="53" zoomScaleNormal="91" workbookViewId="0">
      <selection activeCell="AF24" sqref="AF24"/>
    </sheetView>
  </sheetViews>
  <sheetFormatPr defaultRowHeight="14.4" x14ac:dyDescent="0.3"/>
  <cols>
    <col min="1" max="16384" width="8.88671875" style="12"/>
  </cols>
  <sheetData>
    <row r="24" spans="32:32" x14ac:dyDescent="0.3">
      <c r="AF2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Sheet2</vt:lpstr>
      <vt:lpstr>Database</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Ahmidatou, Abderrahmane  1 /DZ</dc:creator>
  <cp:lastModifiedBy>Nourhan Abdelgelil Ahmed Zayed</cp:lastModifiedBy>
  <dcterms:created xsi:type="dcterms:W3CDTF">2024-11-27T08:38:26Z</dcterms:created>
  <dcterms:modified xsi:type="dcterms:W3CDTF">2026-03-27T23:34:37Z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9088468-0951-4aef-9cc3-0a346e475ddc_Enabled">
    <vt:lpwstr>true</vt:lpwstr>
  </property>
  <property fmtid="{D5CDD505-2E9C-101B-9397-08002B2CF9AE}" pid="3" name="MSIP_Label_d9088468-0951-4aef-9cc3-0a346e475ddc_SetDate">
    <vt:lpwstr>2024-11-27T10:20:12Z</vt:lpwstr>
  </property>
  <property fmtid="{D5CDD505-2E9C-101B-9397-08002B2CF9AE}" pid="4" name="MSIP_Label_d9088468-0951-4aef-9cc3-0a346e475ddc_Method">
    <vt:lpwstr>Privileged</vt:lpwstr>
  </property>
  <property fmtid="{D5CDD505-2E9C-101B-9397-08002B2CF9AE}" pid="5" name="MSIP_Label_d9088468-0951-4aef-9cc3-0a346e475ddc_Name">
    <vt:lpwstr>Public</vt:lpwstr>
  </property>
  <property fmtid="{D5CDD505-2E9C-101B-9397-08002B2CF9AE}" pid="6" name="MSIP_Label_d9088468-0951-4aef-9cc3-0a346e475ddc_SiteId">
    <vt:lpwstr>aca3c8d6-aa71-4e1a-a10e-03572fc58c0b</vt:lpwstr>
  </property>
  <property fmtid="{D5CDD505-2E9C-101B-9397-08002B2CF9AE}" pid="7" name="MSIP_Label_d9088468-0951-4aef-9cc3-0a346e475ddc_ActionId">
    <vt:lpwstr>4f2fa609-f4d1-4bc0-8273-681d9dbc834e</vt:lpwstr>
  </property>
  <property fmtid="{D5CDD505-2E9C-101B-9397-08002B2CF9AE}" pid="8" name="MSIP_Label_d9088468-0951-4aef-9cc3-0a346e475ddc_ContentBits">
    <vt:lpwstr>0</vt:lpwstr>
  </property>
</Properties>
</file>